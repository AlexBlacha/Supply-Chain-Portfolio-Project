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f7d6c24ec4f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6956d74d4fd4f5c"/>
    <x:sheet xmlns:r="http://schemas.openxmlformats.org/officeDocument/2006/relationships" name="Project Overview" sheetId="2" r:id="R077aa3968af54497"/>
    <x:sheet xmlns:r="http://schemas.openxmlformats.org/officeDocument/2006/relationships" name="Product Summary" sheetId="3" r:id="R9c46352fc68543cc"/>
    <x:sheet xmlns:r="http://schemas.openxmlformats.org/officeDocument/2006/relationships" name="Weekly Demand" sheetId="4" r:id="R8c1b70bd47ef4435"/>
    <x:sheet xmlns:r="http://schemas.openxmlformats.org/officeDocument/2006/relationships" name="Assumptions &amp; Source" sheetId="5" r:id="Rfeacf308680142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yyyy-mm-dd"/>
    <x:numFmt numFmtId="202" formatCode="#,##0"/>
    <x:numFmt numFmtId="203" formatCode="&quot;£&quot;#,##0.00"/>
    <x:numFmt numFmtId="204" formatCode="#,##0.0"/>
    <x:numFmt numFmtId="205" formatCode="&quot;£&quot;#,##0"/>
  </x:numFmts>
  <x:fonts count="15">
    <x:font>
      <x:sz val="11"/>
      <x:name val="Carlito"/>
    </x:font>
    <x:font>
      <x:b/>
      <x:sz val="20"/>
      <x:color rgb="FFFFFFFF"/>
      <x:name val="Carlito"/>
    </x:font>
    <x:font>
      <x:i/>
      <x:sz val="10"/>
      <x:color rgb="FF607D8B"/>
      <x:name val="Carlito"/>
    </x:font>
    <x:font>
      <x:b/>
      <x:sz val="10"/>
      <x:color rgb="FFFFFFFF"/>
      <x:name val="Carlito"/>
    </x:font>
    <x:font>
      <x:sz val="9"/>
      <x:color rgb="FF263238"/>
      <x:name val="Carlito"/>
    </x:font>
    <x:font>
      <x:b/>
      <x:sz val="9"/>
      <x:color rgb="FF1565C0"/>
      <x:name val="Carlito"/>
    </x:font>
    <x:font>
      <x:b/>
      <x:sz val="11"/>
      <x:color rgb="FFFFFFFF"/>
      <x:name val="Carlito"/>
    </x:font>
    <x:font>
      <x:b/>
      <x:sz val="9"/>
      <x:color rgb="FF607D8B"/>
      <x:name val="Carlito"/>
    </x:font>
    <x:font>
      <x:b/>
      <x:sz val="18"/>
      <x:color rgb="FF17324D"/>
      <x:name val="Carlito"/>
    </x:font>
    <x:font>
      <x:sz val="11"/>
      <x:color rgb="FF263238"/>
      <x:name val="Carlito"/>
    </x:font>
    <x:font>
      <x:sz val="12"/>
      <x:color rgb="FF263238"/>
      <x:name val="Carlito"/>
    </x:font>
    <x:font>
      <x:b/>
      <x:sz val="13"/>
      <x:color rgb="FF2A9D8F"/>
      <x:name val="Carlito"/>
    </x:font>
    <x:font>
      <x:b/>
      <x:sz val="10"/>
      <x:color rgb="FF17324D"/>
      <x:name val="Carlito"/>
    </x:font>
    <x:font>
      <x:b/>
      <x:sz val="9"/>
      <x:color rgb="FF17324D"/>
      <x:name val="Carlito"/>
    </x:font>
    <x:font>
      <x:sz val="9"/>
      <x:color rgb="FF607D8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4F7FA"/>
      </x:patternFill>
    </x:fill>
    <x:fill>
      <x:patternFill patternType="solid">
        <x:fgColor rgb="FF2A9D8F"/>
      </x:patternFill>
    </x:fill>
    <x:fill>
      <x:patternFill patternType="solid">
        <x:fgColor rgb="FFFFFFFF"/>
      </x:patternFill>
    </x:fill>
    <x:fill>
      <x:patternFill patternType="solid">
        <x:fgColor rgb="FFFAFBFC"/>
      </x:patternFill>
    </x:fill>
    <x:fill>
      <x:patternFill patternType="solid">
        <x:fgColor rgb="FFEAF4F2"/>
      </x:patternFill>
    </x:fill>
  </x:fills>
  <x:borders count="15">
    <x:border/>
    <x:border>
      <x:left style="thin">
        <x:color rgb="FFD8E1E8"/>
      </x:left>
      <x:top style="thin">
        <x:color rgb="FFD8E1E8"/>
      </x:top>
      <x:bottom style="thin">
        <x:color rgb="FFD8E1E8"/>
      </x:bottom>
    </x:border>
    <x:border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bottom style="thin">
        <x:color rgb="FFE8EEF2"/>
      </x:bottom>
    </x:border>
    <x:border>
      <x:top style="thin">
        <x:color rgb="FFE8EEF2"/>
      </x:top>
      <x:bottom style="thin">
        <x:color rgb="FFE8EEF2"/>
      </x:bottom>
    </x:border>
    <x:border>
      <x:top style="thin">
        <x:color rgb="FFE8EEF2"/>
      </x:top>
      <x:bottom style="thin">
        <x:color rgb="FFD8E1E8"/>
      </x:bottom>
    </x:border>
    <x:border>
      <x:top style="thin">
        <x:color rgb="FFD8E1E8"/>
      </x:top>
      <x:bottom style="thin">
        <x:color rgb="FFD8E1E8"/>
      </x:bottom>
    </x:border>
    <x:border>
      <x:left style="thin">
        <x:color rgb="FFD8E1E8"/>
      </x:left>
      <x:top style="thin">
        <x:color rgb="FFD8E1E8"/>
      </x:top>
    </x:border>
    <x:border>
      <x:right style="thin">
        <x:color rgb="FFD8E1E8"/>
      </x:right>
      <x:top style="thin">
        <x:color rgb="FFD8E1E8"/>
      </x:top>
    </x:border>
    <x:border>
      <x:left style="thin">
        <x:color rgb="FFD8E1E8"/>
      </x:left>
      <x:bottom style="thin">
        <x:color rgb="FFD8E1E8"/>
      </x:bottom>
    </x:border>
    <x:border>
      <x:right style="thin">
        <x:color rgb="FFD8E1E8"/>
      </x:right>
      <x:bottom style="thin">
        <x:color rgb="FFD8E1E8"/>
      </x:bottom>
    </x:border>
    <x:border>
      <x:top style="thin">
        <x:color rgb="FFD8E1E8"/>
      </x:top>
    </x:border>
    <x:border>
      <x:left style="thin">
        <x:color rgb="FFD8E1E8"/>
      </x:left>
    </x:border>
    <x:border>
      <x:right style="thin">
        <x:color rgb="FFD8E1E8"/>
      </x:right>
    </x:border>
    <x:border>
      <x:bottom style="thin">
        <x:color rgb="FFD8E1E8"/>
      </x:bottom>
    </x:border>
  </x:borders>
  <x:cellStyleXfs count="1">
    <x:xf numFmtId="0" fontId="0" fillId="0" borderId="0"/>
  </x:cellStyleXfs>
  <x:cellXfs count="1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200" fontId="5" fillId="0" borderId="4" xfId="0" applyNumberFormat="1" applyFont="1" applyFill="1" applyBorder="1" applyAlignment="1">
      <x:alignment vertical="center" wrapText="1"/>
    </x:xf>
    <x:xf numFmtId="201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202" fontId="4" fillId="0" borderId="3" xfId="0" applyNumberFormat="1" applyFont="1" applyFill="1" applyBorder="1" applyAlignment="1">
      <x:alignment vertical="center" wrapText="1"/>
    </x:xf>
    <x:xf numFmtId="202" fontId="4" fillId="0" borderId="4" xfId="0" applyNumberFormat="1" applyFont="1" applyFill="1" applyBorder="1" applyAlignment="1">
      <x:alignment vertical="center" wrapText="1"/>
    </x:xf>
    <x:xf numFmtId="0" fontId="3" fillId="2" borderId="6" xfId="0" applyNumberFormat="1" applyFont="1" applyFill="1" applyBorder="1"/>
    <x:xf numFmtId="0" fontId="3" fillId="2" borderId="6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/>
    </x:xf>
    <x:xf numFmtId="204" fontId="4" fillId="0" borderId="5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5" fontId="4" fillId="0" borderId="3" xfId="0" applyNumberFormat="1" applyFont="1" applyFill="1" applyBorder="1" applyAlignment="1">
      <x:alignment vertical="center"/>
    </x:xf>
    <x:xf numFmtId="205" fontId="4" fillId="0" borderId="4" xfId="0" applyNumberFormat="1" applyFont="1" applyFill="1" applyBorder="1" applyAlignment="1">
      <x:alignment vertical="center"/>
    </x:xf>
    <x:xf numFmtId="205" fontId="4" fillId="0" borderId="5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2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7" fillId="3" borderId="2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 applyAlignment="1">
      <x:alignment horizontal="center" vertical="center"/>
    </x:xf>
    <x:xf numFmtId="0" fontId="7" fillId="3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7" xfId="0" applyNumberFormat="1" applyFont="1" applyFill="1" applyBorder="1"/>
    <x:xf numFmtId="0" fontId="8" fillId="5" borderId="8" xfId="0" applyNumberFormat="1" applyFont="1" applyFill="1" applyBorder="1"/>
    <x:xf numFmtId="0" fontId="8" fillId="5" borderId="9" xfId="0" applyNumberFormat="1" applyFont="1" applyFill="1" applyBorder="1"/>
    <x:xf numFmtId="0" fontId="8" fillId="5" borderId="10" xfId="0" applyNumberFormat="1" applyFont="1" applyFill="1" applyBorder="1"/>
    <x:xf numFmtId="0" fontId="8" fillId="5" borderId="7" xfId="0" applyNumberFormat="1" applyFont="1" applyFill="1" applyBorder="1" applyAlignment="1">
      <x:alignment horizontal="center"/>
    </x:xf>
    <x:xf numFmtId="0" fontId="8" fillId="5" borderId="8" xfId="0" applyNumberFormat="1" applyFont="1" applyFill="1" applyBorder="1" applyAlignment="1">
      <x:alignment horizontal="center"/>
    </x:xf>
    <x:xf numFmtId="0" fontId="8" fillId="5" borderId="9" xfId="0" applyNumberFormat="1" applyFont="1" applyFill="1" applyBorder="1" applyAlignment="1">
      <x:alignment horizontal="center"/>
    </x:xf>
    <x:xf numFmtId="0" fontId="8" fillId="5" borderId="10" xfId="0" applyNumberFormat="1" applyFont="1" applyFill="1" applyBorder="1" applyAlignment="1">
      <x:alignment horizontal="center"/>
    </x:xf>
    <x:xf numFmtId="0" fontId="8" fillId="5" borderId="7" xfId="0" applyNumberFormat="1" applyFont="1" applyFill="1" applyBorder="1" applyAlignment="1">
      <x:alignment horizontal="center" vertical="center"/>
    </x:xf>
    <x:xf numFmtId="0" fontId="8" fillId="5" borderId="8" xfId="0" applyNumberFormat="1" applyFont="1" applyFill="1" applyBorder="1" applyAlignment="1">
      <x:alignment horizontal="center" vertical="center"/>
    </x:xf>
    <x:xf numFmtId="0" fontId="8" fillId="5" borderId="9" xfId="0" applyNumberFormat="1" applyFont="1" applyFill="1" applyBorder="1" applyAlignment="1">
      <x:alignment horizontal="center" vertical="center"/>
    </x:xf>
    <x:xf numFmtId="0" fontId="8" fillId="5" borderId="10" xfId="0" applyNumberFormat="1" applyFont="1" applyFill="1" applyBorder="1" applyAlignment="1">
      <x:alignment horizontal="center" vertical="center"/>
    </x:xf>
    <x:xf numFmtId="202" fontId="8" fillId="5" borderId="7" xfId="0" applyNumberFormat="1" applyFont="1" applyFill="1" applyBorder="1" applyAlignment="1">
      <x:alignment horizontal="center" vertical="center"/>
    </x:xf>
    <x:xf numFmtId="202" fontId="8" fillId="5" borderId="8" xfId="0" applyNumberFormat="1" applyFont="1" applyFill="1" applyBorder="1" applyAlignment="1">
      <x:alignment horizontal="center" vertical="center"/>
    </x:xf>
    <x:xf numFmtId="202" fontId="8" fillId="5" borderId="9" xfId="0" applyNumberFormat="1" applyFont="1" applyFill="1" applyBorder="1" applyAlignment="1">
      <x:alignment horizontal="center" vertical="center"/>
    </x:xf>
    <x:xf numFmtId="202" fontId="8" fillId="5" borderId="10" xfId="0" applyNumberFormat="1" applyFont="1" applyFill="1" applyBorder="1" applyAlignment="1">
      <x:alignment horizontal="center" vertical="center"/>
    </x:xf>
    <x:xf numFmtId="205" fontId="8" fillId="5" borderId="7" xfId="0" applyNumberFormat="1" applyFont="1" applyFill="1" applyBorder="1" applyAlignment="1">
      <x:alignment horizontal="center" vertical="center"/>
    </x:xf>
    <x:xf numFmtId="205" fontId="8" fillId="5" borderId="8" xfId="0" applyNumberFormat="1" applyFont="1" applyFill="1" applyBorder="1" applyAlignment="1">
      <x:alignment horizontal="center" vertical="center"/>
    </x:xf>
    <x:xf numFmtId="205" fontId="8" fillId="5" borderId="9" xfId="0" applyNumberFormat="1" applyFont="1" applyFill="1" applyBorder="1" applyAlignment="1">
      <x:alignment horizontal="center" vertical="center"/>
    </x:xf>
    <x:xf numFmtId="205" fontId="8" fillId="5" borderId="10" xfId="0" applyNumberFormat="1" applyFont="1" applyFill="1" applyBorder="1" applyAlignment="1">
      <x:alignment horizontal="center" vertical="center"/>
    </x:xf>
    <x:xf numFmtId="200" fontId="8" fillId="5" borderId="7" xfId="0" applyNumberFormat="1" applyFont="1" applyFill="1" applyBorder="1" applyAlignment="1">
      <x:alignment horizontal="center" vertical="center"/>
    </x:xf>
    <x:xf numFmtId="200" fontId="8" fillId="5" borderId="8" xfId="0" applyNumberFormat="1" applyFont="1" applyFill="1" applyBorder="1" applyAlignment="1">
      <x:alignment horizontal="center" vertical="center"/>
    </x:xf>
    <x:xf numFmtId="200" fontId="8" fillId="5" borderId="9" xfId="0" applyNumberFormat="1" applyFont="1" applyFill="1" applyBorder="1" applyAlignment="1">
      <x:alignment horizontal="center" vertical="center"/>
    </x:xf>
    <x:xf numFmtId="200" fontId="8" fillId="5" borderId="1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7" xfId="0" applyNumberFormat="1" applyFont="1" applyFill="1" applyBorder="1"/>
    <x:xf numFmtId="0" fontId="9" fillId="6" borderId="11" xfId="0" applyNumberFormat="1" applyFont="1" applyFill="1" applyBorder="1"/>
    <x:xf numFmtId="0" fontId="9" fillId="6" borderId="8" xfId="0" applyNumberFormat="1" applyFont="1" applyFill="1" applyBorder="1"/>
    <x:xf numFmtId="0" fontId="9" fillId="6" borderId="12" xfId="0" applyNumberFormat="1" applyFont="1" applyFill="1" applyBorder="1"/>
    <x:xf numFmtId="0" fontId="9" fillId="6" borderId="13" xfId="0" applyNumberFormat="1" applyFont="1" applyFill="1" applyBorder="1"/>
    <x:xf numFmtId="0" fontId="9" fillId="6" borderId="9" xfId="0" applyNumberFormat="1" applyFont="1" applyFill="1" applyBorder="1"/>
    <x:xf numFmtId="0" fontId="9" fillId="6" borderId="14" xfId="0" applyNumberFormat="1" applyFont="1" applyFill="1" applyBorder="1"/>
    <x:xf numFmtId="0" fontId="9" fillId="6" borderId="10" xfId="0" applyNumberFormat="1" applyFont="1" applyFill="1" applyBorder="1"/>
    <x:xf numFmtId="0" fontId="9" fillId="6" borderId="7" xfId="0" applyNumberFormat="1" applyFont="1" applyFill="1" applyBorder="1" applyAlignment="1">
      <x:alignment wrapText="1"/>
    </x:xf>
    <x:xf numFmtId="0" fontId="9" fillId="6" borderId="11" xfId="0" applyNumberFormat="1" applyFont="1" applyFill="1" applyBorder="1" applyAlignment="1">
      <x:alignment wrapText="1"/>
    </x:xf>
    <x:xf numFmtId="0" fontId="9" fillId="6" borderId="8" xfId="0" applyNumberFormat="1" applyFont="1" applyFill="1" applyBorder="1" applyAlignment="1">
      <x:alignment wrapText="1"/>
    </x:xf>
    <x:xf numFmtId="0" fontId="9" fillId="6" borderId="12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13" xfId="0" applyNumberFormat="1" applyFont="1" applyFill="1" applyBorder="1" applyAlignment="1">
      <x:alignment wrapText="1"/>
    </x:xf>
    <x:xf numFmtId="0" fontId="9" fillId="6" borderId="9" xfId="0" applyNumberFormat="1" applyFont="1" applyFill="1" applyBorder="1" applyAlignment="1">
      <x:alignment wrapText="1"/>
    </x:xf>
    <x:xf numFmtId="0" fontId="9" fillId="6" borderId="14" xfId="0" applyNumberFormat="1" applyFont="1" applyFill="1" applyBorder="1" applyAlignment="1">
      <x:alignment wrapText="1"/>
    </x:xf>
    <x:xf numFmtId="0" fontId="9" fillId="6" borderId="10" xfId="0" applyNumberFormat="1" applyFont="1" applyFill="1" applyBorder="1" applyAlignment="1">
      <x:alignment wrapText="1"/>
    </x:xf>
    <x:xf numFmtId="0" fontId="9" fillId="6" borderId="7" xfId="0" applyNumberFormat="1" applyFont="1" applyFill="1" applyBorder="1" applyAlignment="1">
      <x:alignment vertical="center" wrapText="1"/>
    </x:xf>
    <x:xf numFmtId="0" fontId="9" fillId="6" borderId="11" xfId="0" applyNumberFormat="1" applyFont="1" applyFill="1" applyBorder="1" applyAlignment="1">
      <x:alignment vertical="center" wrapText="1"/>
    </x:xf>
    <x:xf numFmtId="0" fontId="9" fillId="6" borderId="8" xfId="0" applyNumberFormat="1" applyFont="1" applyFill="1" applyBorder="1" applyAlignment="1">
      <x:alignment vertical="center" wrapText="1"/>
    </x:xf>
    <x:xf numFmtId="0" fontId="9" fillId="6" borderId="12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9" fillId="6" borderId="13" xfId="0" applyNumberFormat="1" applyFont="1" applyFill="1" applyBorder="1" applyAlignment="1">
      <x:alignment vertical="center" wrapText="1"/>
    </x:xf>
    <x:xf numFmtId="0" fontId="9" fillId="6" borderId="9" xfId="0" applyNumberFormat="1" applyFont="1" applyFill="1" applyBorder="1" applyAlignment="1">
      <x:alignment vertical="center" wrapText="1"/>
    </x:xf>
    <x:xf numFmtId="0" fontId="9" fillId="6" borderId="14" xfId="0" applyNumberFormat="1" applyFont="1" applyFill="1" applyBorder="1" applyAlignment="1">
      <x:alignment vertical="center" wrapText="1"/>
    </x:xf>
    <x:xf numFmtId="0" fontId="9" fillId="6" borderId="10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/>
    </x:xf>
    <x:xf numFmtId="0" fontId="4" fillId="7" borderId="4" xfId="0" applyNumberFormat="1" applyFont="1" applyFill="1" applyBorder="1" applyAlignment="1">
      <x:alignment vertical="center"/>
    </x:xf>
    <x:xf numFmtId="0" fontId="4" fillId="7" borderId="5" xfId="0" applyNumberFormat="1" applyFont="1" applyFill="1" applyBorder="1" applyAlignment="1">
      <x:alignment vertical="center"/>
    </x:xf>
    <x:xf numFmtId="0" fontId="11" fillId="7" borderId="3" xfId="0" applyNumberFormat="1" applyFont="1" applyFill="1" applyBorder="1" applyAlignment="1">
      <x:alignment vertical="center"/>
    </x:xf>
    <x:xf numFmtId="0" fontId="11" fillId="7" borderId="4" xfId="0" applyNumberFormat="1" applyFont="1" applyFill="1" applyBorder="1" applyAlignment="1">
      <x:alignment vertical="center"/>
    </x:xf>
    <x:xf numFmtId="0" fontId="11" fillId="7" borderId="5" xfId="0" applyNumberFormat="1" applyFont="1" applyFill="1" applyBorder="1" applyAlignment="1">
      <x:alignment vertical="center"/>
    </x:xf>
    <x:xf numFmtId="0" fontId="11" fillId="7" borderId="3" xfId="0" applyNumberFormat="1" applyFont="1" applyFill="1" applyBorder="1" applyAlignment="1">
      <x:alignment horizontal="center" vertical="center"/>
    </x:xf>
    <x:xf numFmtId="0" fontId="11" fillId="7" borderId="4" xfId="0" applyNumberFormat="1" applyFont="1" applyFill="1" applyBorder="1" applyAlignment="1">
      <x:alignment horizontal="center" vertical="center"/>
    </x:xf>
    <x:xf numFmtId="0" fontId="11" fillId="7" borderId="5" xfId="0" applyNumberFormat="1" applyFont="1" applyFill="1" applyBorder="1" applyAlignment="1">
      <x:alignment horizontal="center" vertical="center"/>
    </x:xf>
    <x:xf numFmtId="0" fontId="12" fillId="0" borderId="3" xfId="0" applyNumberFormat="1" applyFont="1" applyFill="1" applyBorder="1" applyAlignment="1">
      <x:alignment vertical="center"/>
    </x:xf>
    <x:xf numFmtId="0" fontId="12" fillId="0" borderId="4" xfId="0" applyNumberFormat="1" applyFont="1" applyFill="1" applyBorder="1" applyAlignment="1">
      <x:alignment vertical="center"/>
    </x:xf>
    <x:xf numFmtId="0" fontId="12" fillId="0" borderId="5" xfId="0" applyNumberFormat="1" applyFont="1" applyFill="1" applyBorder="1" applyAlignment="1">
      <x:alignment vertical="center"/>
    </x:xf>
    <x:xf numFmtId="0" fontId="13" fillId="0" borderId="3" xfId="0" applyNumberFormat="1" applyFont="1" applyFill="1" applyBorder="1" applyAlignment="1">
      <x:alignment vertical="center"/>
    </x:xf>
    <x:xf numFmtId="0" fontId="13" fillId="0" borderId="4" xfId="0" applyNumberFormat="1" applyFont="1" applyFill="1" applyBorder="1" applyAlignment="1">
      <x:alignment vertical="center"/>
    </x:xf>
    <x:xf numFmtId="0" fontId="13" fillId="0" borderId="5" xfId="0" applyNumberFormat="1" applyFont="1" applyFill="1" applyBorder="1" applyAlignment="1">
      <x:alignment vertical="center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7A5B00"/>
      </x:font>
      <x:fill>
        <x:patternFill patternType="solid">
          <x:bgColor rgb="FFFFF3CD"/>
        </x:patternFill>
      </x:fill>
    </x:dxf>
    <x:dxf>
      <x:font>
        <x:b/>
        <x:color rgb="FF12664F"/>
      </x:font>
      <x:fill>
        <x:patternFill patternType="solid">
          <x:bgColor rgb="FFD8F3EA"/>
        </x:patternFill>
      </x:fill>
    </x:dxf>
    <x:dxf>
      <x:font>
        <x:b/>
        <x:color rgb="FF7A5B00"/>
      </x:font>
      <x:fill>
        <x:patternFill patternType="solid">
          <x:bgColor rgb="FFFFF3CD"/>
        </x:patternFill>
      </x:fill>
    </x:dxf>
    <x:dxf>
      <x:font>
        <x:b/>
        <x:color rgb="FF9B2226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14c459fee34382" /><Relationship Type="http://schemas.openxmlformats.org/officeDocument/2006/relationships/theme" Target="/xl/theme/theme1.xml" Id="Rbb7674af868e4223" /><Relationship Type="http://schemas.openxmlformats.org/officeDocument/2006/relationships/sharedStrings" Target="/xl/sharedStrings.xml" Id="Re7f09348b6ac44f5" /><Relationship Type="http://schemas.openxmlformats.org/officeDocument/2006/relationships/worksheet" Target="/xl/worksheets/sheet1.xml" Id="Ra6956d74d4fd4f5c" /><Relationship Type="http://schemas.openxmlformats.org/officeDocument/2006/relationships/worksheet" Target="/xl/worksheets/sheet2.xml" Id="R077aa3968af54497" /><Relationship Type="http://schemas.openxmlformats.org/officeDocument/2006/relationships/worksheet" Target="/xl/worksheets/sheet3.xml" Id="R9c46352fc68543cc" /><Relationship Type="http://schemas.openxmlformats.org/officeDocument/2006/relationships/worksheet" Target="/xl/worksheets/sheet4.xml" Id="R8c1b70bd47ef4435" /><Relationship Type="http://schemas.openxmlformats.org/officeDocument/2006/relationships/worksheet" Target="/xl/worksheets/sheet5.xml" Id="Rfeacf308680142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5ddb8912e14d1c" /><Relationship Type="http://schemas.openxmlformats.org/officeDocument/2006/relationships/chart" Target="/xl/drawings/charts/chart2.xml" Id="Ra17236da6e534fc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product</a:t>
            </a:r>
          </a:p>
        </c:rich>
      </c:tx>
      <c:overlay val="0"/>
    </c:title>
    <c:plotArea>
      <c:barChart>
        <c:barDir val="bar"/>
        <c:grouping val="clustered"/>
        <c:varyColors val="0"/>
        <c:ser>
          <c:idx val="0"/>
          <c:order val="0"/>
          <c:tx>
            <c:v>Revenue (£)</c:v>
          </c:tx>
          <c:cat>
            <c:strRef>
              <c:f>'Dashboard'!$A$34:$A$41</c:f>
              <c:strCache>
                <c:ptCount val="0"/>
              </c:strCache>
            </c:strRef>
          </c:cat>
          <c:val>
            <c:numRef>
              <c:f>'Dashboard'!$B$34:$B$41</c:f>
              <c:numCache>
                <c:formatCode>"£"#,##0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£&quot;0,&quot;K&quot;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£&quot;0,&quot;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Weekly demand and four-week forecast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Actual Units</c:v>
          </c:tx>
          <c:marker>
            <c:symbol val="none"/>
          </c:marker>
          <c:cat>
            <c:strRef>
              <c:f>'Dashboard'!$D$34:$D$85</c:f>
              <c:strCache>
                <c:ptCount val="0"/>
              </c:strCache>
            </c:strRef>
          </c:cat>
          <c:val>
            <c:numRef>
              <c:f>'Dashboard'!$E$34:$E$85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4W Forecast</c:v>
          </c:tx>
          <c:marker>
            <c:symbol val="none"/>
          </c:marker>
          <c:cat>
            <c:strRef>
              <c:f>'Dashboard'!$D$34:$D$85</c:f>
              <c:strCache>
                <c:ptCount val="0"/>
              </c:strCache>
            </c:strRef>
          </c:cat>
          <c:val>
            <c:numRef>
              <c:f>'Dashboard'!$F$34:$F$85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13</xdr:row>
      <xdr:rowOff>0</xdr:rowOff>
    </xdr:from>
    <xdr:ext cx="4953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5ddb8912e14d1c"/>
        </a:graphicData>
      </a:graphic>
    </xdr:graphicFrame>
    <xdr:clientData/>
  </xdr:oneCellAnchor>
  <xdr:oneCellAnchor>
    <xdr:from>
      <xdr:col>5</xdr:col>
      <xdr:colOff>0</xdr:colOff>
      <xdr:row>13</xdr:row>
      <xdr:rowOff>0</xdr:rowOff>
    </xdr:from>
    <xdr:ext cx="495300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7236da6e534fc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df8dadfa79427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6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4" customHeight="1">
      <x:c r="A1" s="4" t="str">
        <x:v>Retail Demand &amp; Inventory Planning</x:v>
      </x:c>
      <x:c r="B1" s="4" t="str">
        <x:v>Retail Demand &amp; Inventory Planning</x:v>
      </x:c>
      <x:c r="C1" s="4" t="str">
        <x:v>Retail Demand &amp; Inventory Planning</x:v>
      </x:c>
      <x:c r="D1" s="4" t="str">
        <x:v>Retail Demand &amp; Inventory Planning</x:v>
      </x:c>
      <x:c r="E1" s="4" t="str">
        <x:v>Retail Demand &amp; Inventory Planning</x:v>
      </x:c>
      <x:c r="F1" s="4" t="str">
        <x:v>Retail Demand &amp; Inventory Planning</x:v>
      </x:c>
      <x:c r="G1" s="4" t="str">
        <x:v>Retail Demand &amp; Inventory Planning</x:v>
      </x:c>
      <x:c r="H1" s="4" t="str">
        <x:v>Retail Demand &amp; Inventory Planning</x:v>
      </x:c>
      <x:c r="I1" s="4" t="str">
        <x:v>Retail Demand &amp; Inventory Planning</x:v>
      </x:c>
      <x:c r="J1" s="4" t="str">
        <x:v>Retail Demand &amp; Inventory Planning</x:v>
      </x:c>
    </x:row>
    <x:row r="2" ht="30" customHeight="1">
      <x:c r="A2" s="8" t="str">
        <x:v>Independent project by Alexander Blacha. Twenty high-revenue retail SKUs modeled across 52 complete weeks.</x:v>
      </x:c>
      <x:c r="B2" s="8" t="str">
        <x:v>Independent project by Alexander Blacha. Twenty high-revenue retail SKUs modeled across 52 complete weeks.</x:v>
      </x:c>
      <x:c r="C2" s="8" t="str">
        <x:v>Independent project by Alexander Blacha. Twenty high-revenue retail SKUs modeled across 52 complete weeks.</x:v>
      </x:c>
      <x:c r="D2" s="8" t="str">
        <x:v>Independent project by Alexander Blacha. Twenty high-revenue retail SKUs modeled across 52 complete weeks.</x:v>
      </x:c>
      <x:c r="E2" s="8" t="str">
        <x:v>Independent project by Alexander Blacha. Twenty high-revenue retail SKUs modeled across 52 complete weeks.</x:v>
      </x:c>
      <x:c r="F2" s="8" t="str">
        <x:v>Independent project by Alexander Blacha. Twenty high-revenue retail SKUs modeled across 52 complete weeks.</x:v>
      </x:c>
      <x:c r="G2" s="8" t="str">
        <x:v>Independent project by Alexander Blacha. Twenty high-revenue retail SKUs modeled across 52 complete weeks.</x:v>
      </x:c>
      <x:c r="H2" s="8" t="str">
        <x:v>Independent project by Alexander Blacha. Twenty high-revenue retail SKUs modeled across 52 complete weeks.</x:v>
      </x:c>
      <x:c r="I2" s="8" t="str">
        <x:v>Independent project by Alexander Blacha. Twenty high-revenue retail SKUs modeled across 52 complete weeks.</x:v>
      </x:c>
      <x:c r="J2" s="8" t="str">
        <x:v>Independent project by Alexander Blacha. Twenty high-revenue retail SKUs modeled across 52 complete weeks.</x:v>
      </x:c>
    </x:row>
    <x:row r="4">
      <x:c r="A4" s="71" t="str">
        <x:v>Transactions Analyzed</x:v>
      </x:c>
      <x:c r="B4" s="72" t="str">
        <x:v>Transactions Analyzed</x:v>
      </x:c>
      <x:c r="C4" s="71" t="str">
        <x:v>SKUs Modeled</x:v>
      </x:c>
      <x:c r="D4" s="72" t="str">
        <x:v>SKUs Modeled</x:v>
      </x:c>
      <x:c r="E4" s="71" t="str">
        <x:v>Selected Revenue</x:v>
      </x:c>
      <x:c r="F4" s="72" t="str">
        <x:v>Selected Revenue</x:v>
      </x:c>
      <x:c r="G4" s="71" t="str">
        <x:v>4W Forecast WMAPE</x:v>
      </x:c>
      <x:c r="H4" s="72" t="str">
        <x:v>4W Forecast WMAPE</x:v>
      </x:c>
      <x:c r="I4" s="71" t="str">
        <x:v>Error Improvement vs Naive</x:v>
      </x:c>
      <x:c r="J4" s="72" t="str">
        <x:v>Error Improvement vs Naive</x:v>
      </x:c>
    </x:row>
    <x:row r="5">
      <x:c r="A5" s="87" t="n">
        <x:f>'Assumptions &amp; Source'!B17</x:f>
        <x:v>23243</x:v>
      </x:c>
      <x:c r="B5" s="88"/>
      <x:c r="C5" s="87" t="n">
        <x:f>COUNTA('Product Summary'!B5:B24)</x:f>
        <x:v>20</x:v>
      </x:c>
      <x:c r="D5" s="88"/>
      <x:c r="E5" s="91" t="n">
        <x:f>SUM('Product Summary'!E5:E24)</x:f>
        <x:v>1193459.75</x:v>
      </x:c>
      <x:c r="F5" s="92"/>
      <x:c r="G5" s="95" t="n">
        <x:f>SUMIFS('Weekly Demand'!$K$5:$K$1044,'Weekly Demand'!$M$5:$M$1044,"Validation")/SUMIFS('Weekly Demand'!$E$5:$E$1044,'Weekly Demand'!$M$5:$M$1044,"Validation")</x:f>
        <x:v>0.4492143550884211</x:v>
      </x:c>
      <x:c r="H5" s="96"/>
      <x:c r="I5" s="95" t="n">
        <x:f>1-(SUMIFS('Weekly Demand'!$K$5:$K$1044,'Weekly Demand'!$M$5:$M$1044,"Validation")/SUMIFS('Weekly Demand'!$E$5:$E$1044,'Weekly Demand'!$M$5:$M$1044,"Validation"))/(SUMIFS('Weekly Demand'!$J$5:$J$1044,'Weekly Demand'!$M$5:$M$1044,"Validation")/SUMIFS('Weekly Demand'!$E$5:$E$1044,'Weekly Demand'!$M$5:$M$1044,"Validation"))</x:f>
        <x:v>0.1776384121116098</x:v>
      </x:c>
      <x:c r="J5" s="96"/>
    </x:row>
    <x:row r="6">
      <x:c r="A6" s="89"/>
      <x:c r="B6" s="90"/>
      <x:c r="C6" s="89"/>
      <x:c r="D6" s="90"/>
      <x:c r="E6" s="93"/>
      <x:c r="F6" s="94"/>
      <x:c r="G6" s="97"/>
      <x:c r="H6" s="98"/>
      <x:c r="I6" s="97"/>
      <x:c r="J6" s="98"/>
    </x:row>
    <x:row r="8" ht="22" customHeight="1">
      <x:c r="A8" s="32" t="str">
        <x:v>Planning recommendations</x:v>
      </x:c>
      <x:c r="B8" s="32" t="str">
        <x:v>Planning recommendations</x:v>
      </x:c>
      <x:c r="C8" s="32" t="str">
        <x:v>Planning recommendations</x:v>
      </x:c>
      <x:c r="D8" s="32" t="str">
        <x:v>Planning recommendations</x:v>
      </x:c>
      <x:c r="E8" s="32" t="str">
        <x:v>Planning recommendations</x:v>
      </x:c>
      <x:c r="F8" s="32" t="str">
        <x:v>Planning recommendations</x:v>
      </x:c>
      <x:c r="G8" s="32" t="str">
        <x:v>Planning recommendations</x:v>
      </x:c>
      <x:c r="H8" s="32" t="str">
        <x:v>Planning recommendations</x:v>
      </x:c>
      <x:c r="I8" s="32" t="str">
        <x:v>Planning recommendations</x:v>
      </x:c>
      <x:c r="J8" s="32" t="str">
        <x:v>Planning recommendations</x:v>
      </x:c>
    </x:row>
    <x:row r="9">
      <x:c r="A9" s="118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B9" s="119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C9" s="119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D9" s="119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E9" s="119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F9" s="119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G9" s="119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H9" s="119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I9" s="119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J9" s="120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</x:row>
    <x:row r="10">
      <x:c r="A10" s="121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B10" s="122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C10" s="122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D10" s="122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E10" s="122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F10" s="122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G10" s="122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H10" s="122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I10" s="122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J10" s="123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</x:row>
    <x:row r="11">
      <x:c r="A11" s="121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B11" s="122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C11" s="122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D11" s="122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E11" s="122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F11" s="122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G11" s="122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H11" s="122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I11" s="122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J11" s="123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</x:row>
    <x:row r="12">
      <x:c r="A12" s="124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B12" s="125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C12" s="125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D12" s="125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E12" s="125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F12" s="125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G12" s="125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H12" s="125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I12" s="125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  <x:c r="J12" s="126" t="str">
        <x:v>Use the four-week moving average as the portfolio baseline because it reduces holdout error versus a one-week naive forecast. Prioritize A-class products for weekly review, calculate SKU-specific safety stock from observed demand variability, and treat unusually volatile products as exceptions requiring planner judgment rather than a single blanket policy.</x:v>
      </x:c>
    </x:row>
    <x:row r="33" ht="30" customHeight="1">
      <x:c r="A33" s="16" t="str">
        <x:v>Product</x:v>
      </x:c>
      <x:c r="B33" s="17" t="str">
        <x:v>Revenue (£)</x:v>
      </x:c>
      <x:c r="D33" s="16" t="str">
        <x:v>Week</x:v>
      </x:c>
      <x:c r="E33" s="51" t="str">
        <x:v>Actual Units</x:v>
      </x:c>
      <x:c r="F33" s="17" t="str">
        <x:v>4W Forecast</x:v>
      </x:c>
    </x:row>
    <x:row r="34">
      <x:c r="A34" s="22" t="str">
        <x:f>'Product Summary'!C5</x:f>
        <x:v>REGENCY CAKESTAND 3 TIER</x:v>
      </x:c>
      <x:c r="B34" s="63" t="n">
        <x:f>'Product Summary'!E5</x:f>
        <x:v>161882.18999999997</x:v>
      </x:c>
      <x:c r="D34" s="22" t="str">
        <x:f>TEXT('Weekly Demand'!A5,"mmm d")</x:f>
        <x:v>Dec 6</x:v>
      </x:c>
      <x:c r="E34" s="33" t="n">
        <x:f>'Weekly Demand'!E5</x:f>
        <x:v>851</x:v>
      </x:c>
      <x:c r="F34" s="33" t="str">
        <x:f>'Weekly Demand'!H5</x:f>
      </x:c>
    </x:row>
    <x:row r="35">
      <x:c r="A35" s="23" t="str">
        <x:f>'Product Summary'!C6</x:f>
        <x:v>WHITE HANGING HEART T-LIGHT HOLDER</x:v>
      </x:c>
      <x:c r="B35" s="64" t="n">
        <x:f>'Product Summary'!E6</x:f>
        <x:v>100112.98999999998</x:v>
      </x:c>
      <x:c r="D35" s="23" t="str">
        <x:f>TEXT('Weekly Demand'!A6,"mmm d")</x:f>
        <x:v>Dec 13</x:v>
      </x:c>
      <x:c r="E35" s="34" t="n">
        <x:f>'Weekly Demand'!E6</x:f>
        <x:v>442</x:v>
      </x:c>
      <x:c r="F35" s="34" t="str">
        <x:f>'Weekly Demand'!H6</x:f>
      </x:c>
    </x:row>
    <x:row r="36">
      <x:c r="A36" s="23" t="str">
        <x:f>'Product Summary'!C7</x:f>
        <x:v>PARTY BUNTING</x:v>
      </x:c>
      <x:c r="B36" s="64" t="n">
        <x:f>'Product Summary'!E7</x:f>
        <x:v>98919.63000000002</x:v>
      </x:c>
      <x:c r="D36" s="23" t="str">
        <x:f>TEXT('Weekly Demand'!A7,"mmm d")</x:f>
        <x:v>Dec 20</x:v>
      </x:c>
      <x:c r="E36" s="34" t="n">
        <x:f>'Weekly Demand'!E7</x:f>
        <x:v>178</x:v>
      </x:c>
      <x:c r="F36" s="34" t="str">
        <x:f>'Weekly Demand'!H7</x:f>
      </x:c>
    </x:row>
    <x:row r="37">
      <x:c r="A37" s="23" t="str">
        <x:f>'Product Summary'!C8</x:f>
        <x:v>JUMBO BAG RED RETROSPOT</x:v>
      </x:c>
      <x:c r="B37" s="64" t="n">
        <x:f>'Product Summary'!E8</x:f>
        <x:v>92121.24000000002</x:v>
      </x:c>
      <x:c r="D37" s="23" t="str">
        <x:f>TEXT('Weekly Demand'!A8,"mmm d")</x:f>
        <x:v>Dec 27</x:v>
      </x:c>
      <x:c r="E37" s="34" t="n">
        <x:f>'Weekly Demand'!E8</x:f>
        <x:v>0</x:v>
      </x:c>
      <x:c r="F37" s="34" t="str">
        <x:f>'Weekly Demand'!H8</x:f>
      </x:c>
    </x:row>
    <x:row r="38">
      <x:c r="A38" s="23" t="str">
        <x:f>'Product Summary'!C9</x:f>
        <x:v>MEDIUM CERAMIC TOP STORAGE JAR</x:v>
      </x:c>
      <x:c r="B38" s="64" t="n">
        <x:f>'Product Summary'!E9</x:f>
        <x:v>81492.97</x:v>
      </x:c>
      <x:c r="D38" s="23" t="str">
        <x:f>TEXT('Weekly Demand'!A9,"mmm d")</x:f>
        <x:v>Jan 3</x:v>
      </x:c>
      <x:c r="E38" s="34" t="n">
        <x:f>'Weekly Demand'!E9</x:f>
        <x:v>251</x:v>
      </x:c>
      <x:c r="F38" s="34" t="n">
        <x:f>'Weekly Demand'!H9</x:f>
        <x:v>367.75</x:v>
      </x:c>
    </x:row>
    <x:row r="39">
      <x:c r="A39" s="23" t="str">
        <x:f>'Product Summary'!C10</x:f>
        <x:v>RABBIT NIGHT LIGHT</x:v>
      </x:c>
      <x:c r="B39" s="64" t="n">
        <x:f>'Product Summary'!E10</x:f>
        <x:v>59848.3</x:v>
      </x:c>
      <x:c r="D39" s="23" t="str">
        <x:f>TEXT('Weekly Demand'!A10,"mmm d")</x:f>
        <x:v>Jan 10</x:v>
      </x:c>
      <x:c r="E39" s="34" t="n">
        <x:f>'Weekly Demand'!E10</x:f>
        <x:v>407</x:v>
      </x:c>
      <x:c r="F39" s="34" t="n">
        <x:f>'Weekly Demand'!H10</x:f>
        <x:v>217.75</x:v>
      </x:c>
    </x:row>
    <x:row r="40">
      <x:c r="A40" s="23" t="str">
        <x:f>'Product Summary'!C11</x:f>
        <x:v>PAPER CHAIN KIT 50'S CHRISTMAS</x:v>
      </x:c>
      <x:c r="B40" s="64" t="n">
        <x:f>'Product Summary'!E11</x:f>
        <x:v>57358.759999999995</x:v>
      </x:c>
      <x:c r="D40" s="23" t="str">
        <x:f>TEXT('Weekly Demand'!A11,"mmm d")</x:f>
        <x:v>Jan 17</x:v>
      </x:c>
      <x:c r="E40" s="34" t="n">
        <x:f>'Weekly Demand'!E11</x:f>
        <x:v>139</x:v>
      </x:c>
      <x:c r="F40" s="34" t="n">
        <x:f>'Weekly Demand'!H11</x:f>
        <x:v>209</x:v>
      </x:c>
    </x:row>
    <x:row r="41">
      <x:c r="A41" s="24" t="str">
        <x:f>'Product Summary'!C12</x:f>
        <x:v>ASSORTED COLOUR BIRD ORNAMENT</x:v>
      </x:c>
      <x:c r="B41" s="65" t="n">
        <x:f>'Product Summary'!E12</x:f>
        <x:v>56492.45000000001</x:v>
      </x:c>
      <x:c r="D41" s="23" t="str">
        <x:f>TEXT('Weekly Demand'!A12,"mmm d")</x:f>
        <x:v>Jan 24</x:v>
      </x:c>
      <x:c r="E41" s="34" t="n">
        <x:f>'Weekly Demand'!E12</x:f>
        <x:v>231</x:v>
      </x:c>
      <x:c r="F41" s="34" t="n">
        <x:f>'Weekly Demand'!H12</x:f>
        <x:v>199.25</x:v>
      </x:c>
    </x:row>
    <x:row r="42">
      <x:c r="D42" s="23" t="str">
        <x:f>TEXT('Weekly Demand'!A13,"mmm d")</x:f>
        <x:v>Jan 31</x:v>
      </x:c>
      <x:c r="E42" s="34" t="n">
        <x:f>'Weekly Demand'!E13</x:f>
        <x:v>150</x:v>
      </x:c>
      <x:c r="F42" s="34" t="n">
        <x:f>'Weekly Demand'!H13</x:f>
        <x:v>257</x:v>
      </x:c>
    </x:row>
    <x:row r="43">
      <x:c r="D43" s="23" t="str">
        <x:f>TEXT('Weekly Demand'!A14,"mmm d")</x:f>
        <x:v>Feb 7</x:v>
      </x:c>
      <x:c r="E43" s="34" t="n">
        <x:f>'Weekly Demand'!E14</x:f>
        <x:v>139</x:v>
      </x:c>
      <x:c r="F43" s="34" t="n">
        <x:f>'Weekly Demand'!H14</x:f>
        <x:v>231.75</x:v>
      </x:c>
    </x:row>
    <x:row r="44">
      <x:c r="D44" s="23" t="str">
        <x:f>TEXT('Weekly Demand'!A15,"mmm d")</x:f>
        <x:v>Feb 14</x:v>
      </x:c>
      <x:c r="E44" s="34" t="n">
        <x:f>'Weekly Demand'!E15</x:f>
        <x:v>400</x:v>
      </x:c>
      <x:c r="F44" s="34" t="n">
        <x:f>'Weekly Demand'!H15</x:f>
        <x:v>164.75</x:v>
      </x:c>
    </x:row>
    <x:row r="45">
      <x:c r="D45" s="23" t="str">
        <x:f>TEXT('Weekly Demand'!A16,"mmm d")</x:f>
        <x:v>Feb 21</x:v>
      </x:c>
      <x:c r="E45" s="34" t="n">
        <x:f>'Weekly Demand'!E16</x:f>
        <x:v>204</x:v>
      </x:c>
      <x:c r="F45" s="34" t="n">
        <x:f>'Weekly Demand'!H16</x:f>
        <x:v>230</x:v>
      </x:c>
    </x:row>
    <x:row r="46">
      <x:c r="D46" s="23" t="str">
        <x:f>TEXT('Weekly Demand'!A17,"mmm d")</x:f>
        <x:v>Feb 28</x:v>
      </x:c>
      <x:c r="E46" s="34" t="n">
        <x:f>'Weekly Demand'!E17</x:f>
        <x:v>349</x:v>
      </x:c>
      <x:c r="F46" s="34" t="n">
        <x:f>'Weekly Demand'!H17</x:f>
        <x:v>223.25</x:v>
      </x:c>
    </x:row>
    <x:row r="47">
      <x:c r="D47" s="23" t="str">
        <x:f>TEXT('Weekly Demand'!A18,"mmm d")</x:f>
        <x:v>Mar 7</x:v>
      </x:c>
      <x:c r="E47" s="34" t="n">
        <x:f>'Weekly Demand'!E18</x:f>
        <x:v>190</x:v>
      </x:c>
      <x:c r="F47" s="34" t="n">
        <x:f>'Weekly Demand'!H18</x:f>
        <x:v>273</x:v>
      </x:c>
    </x:row>
    <x:row r="48">
      <x:c r="D48" s="23" t="str">
        <x:f>TEXT('Weekly Demand'!A19,"mmm d")</x:f>
        <x:v>Mar 14</x:v>
      </x:c>
      <x:c r="E48" s="34" t="n">
        <x:f>'Weekly Demand'!E19</x:f>
        <x:v>308</x:v>
      </x:c>
      <x:c r="F48" s="34" t="n">
        <x:f>'Weekly Demand'!H19</x:f>
        <x:v>285.75</x:v>
      </x:c>
    </x:row>
    <x:row r="49">
      <x:c r="D49" s="23" t="str">
        <x:f>TEXT('Weekly Demand'!A20,"mmm d")</x:f>
        <x:v>Mar 21</x:v>
      </x:c>
      <x:c r="E49" s="34" t="n">
        <x:f>'Weekly Demand'!E20</x:f>
        <x:v>329</x:v>
      </x:c>
      <x:c r="F49" s="34" t="n">
        <x:f>'Weekly Demand'!H20</x:f>
        <x:v>262.75</x:v>
      </x:c>
    </x:row>
    <x:row r="50">
      <x:c r="D50" s="23" t="str">
        <x:f>TEXT('Weekly Demand'!A21,"mmm d")</x:f>
        <x:v>Mar 28</x:v>
      </x:c>
      <x:c r="E50" s="34" t="n">
        <x:f>'Weekly Demand'!E21</x:f>
        <x:v>334</x:v>
      </x:c>
      <x:c r="F50" s="34" t="n">
        <x:f>'Weekly Demand'!H21</x:f>
        <x:v>294</x:v>
      </x:c>
    </x:row>
    <x:row r="51">
      <x:c r="D51" s="23" t="str">
        <x:f>TEXT('Weekly Demand'!A22,"mmm d")</x:f>
        <x:v>Apr 4</x:v>
      </x:c>
      <x:c r="E51" s="34" t="n">
        <x:f>'Weekly Demand'!E22</x:f>
        <x:v>282</x:v>
      </x:c>
      <x:c r="F51" s="34" t="n">
        <x:f>'Weekly Demand'!H22</x:f>
        <x:v>290.25</x:v>
      </x:c>
    </x:row>
    <x:row r="52">
      <x:c r="D52" s="23" t="str">
        <x:f>TEXT('Weekly Demand'!A23,"mmm d")</x:f>
        <x:v>Apr 11</x:v>
      </x:c>
      <x:c r="E52" s="34" t="n">
        <x:f>'Weekly Demand'!E23</x:f>
        <x:v>366</x:v>
      </x:c>
      <x:c r="F52" s="34" t="n">
        <x:f>'Weekly Demand'!H23</x:f>
        <x:v>313.25</x:v>
      </x:c>
    </x:row>
    <x:row r="53">
      <x:c r="D53" s="23" t="str">
        <x:f>TEXT('Weekly Demand'!A24,"mmm d")</x:f>
        <x:v>Apr 18</x:v>
      </x:c>
      <x:c r="E53" s="34" t="n">
        <x:f>'Weekly Demand'!E24</x:f>
        <x:v>186</x:v>
      </x:c>
      <x:c r="F53" s="34" t="n">
        <x:f>'Weekly Demand'!H24</x:f>
        <x:v>327.75</x:v>
      </x:c>
    </x:row>
    <x:row r="54">
      <x:c r="D54" s="23" t="str">
        <x:f>TEXT('Weekly Demand'!A25,"mmm d")</x:f>
        <x:v>Apr 25</x:v>
      </x:c>
      <x:c r="E54" s="34" t="n">
        <x:f>'Weekly Demand'!E25</x:f>
        <x:v>325</x:v>
      </x:c>
      <x:c r="F54" s="34" t="n">
        <x:f>'Weekly Demand'!H25</x:f>
        <x:v>292</x:v>
      </x:c>
    </x:row>
    <x:row r="55">
      <x:c r="D55" s="23" t="str">
        <x:f>TEXT('Weekly Demand'!A26,"mmm d")</x:f>
        <x:v>May 2</x:v>
      </x:c>
      <x:c r="E55" s="34" t="n">
        <x:f>'Weekly Demand'!E26</x:f>
        <x:v>171</x:v>
      </x:c>
      <x:c r="F55" s="34" t="n">
        <x:f>'Weekly Demand'!H26</x:f>
        <x:v>289.75</x:v>
      </x:c>
    </x:row>
    <x:row r="56">
      <x:c r="D56" s="23" t="str">
        <x:f>TEXT('Weekly Demand'!A27,"mmm d")</x:f>
        <x:v>May 9</x:v>
      </x:c>
      <x:c r="E56" s="34" t="n">
        <x:f>'Weekly Demand'!E27</x:f>
        <x:v>366</x:v>
      </x:c>
      <x:c r="F56" s="34" t="n">
        <x:f>'Weekly Demand'!H27</x:f>
        <x:v>262</x:v>
      </x:c>
    </x:row>
    <x:row r="57">
      <x:c r="D57" s="23" t="str">
        <x:f>TEXT('Weekly Demand'!A28,"mmm d")</x:f>
        <x:v>May 16</x:v>
      </x:c>
      <x:c r="E57" s="34" t="n">
        <x:f>'Weekly Demand'!E28</x:f>
        <x:v>307</x:v>
      </x:c>
      <x:c r="F57" s="34" t="n">
        <x:f>'Weekly Demand'!H28</x:f>
        <x:v>262</x:v>
      </x:c>
    </x:row>
    <x:row r="58">
      <x:c r="D58" s="23" t="str">
        <x:f>TEXT('Weekly Demand'!A29,"mmm d")</x:f>
        <x:v>May 23</x:v>
      </x:c>
      <x:c r="E58" s="34" t="n">
        <x:f>'Weekly Demand'!E29</x:f>
        <x:v>169</x:v>
      </x:c>
      <x:c r="F58" s="34" t="n">
        <x:f>'Weekly Demand'!H29</x:f>
        <x:v>292.25</x:v>
      </x:c>
    </x:row>
    <x:row r="59">
      <x:c r="D59" s="23" t="str">
        <x:f>TEXT('Weekly Demand'!A30,"mmm d")</x:f>
        <x:v>May 30</x:v>
      </x:c>
      <x:c r="E59" s="34" t="n">
        <x:f>'Weekly Demand'!E30</x:f>
        <x:v>263</x:v>
      </x:c>
      <x:c r="F59" s="34" t="n">
        <x:f>'Weekly Demand'!H30</x:f>
        <x:v>253.25</x:v>
      </x:c>
    </x:row>
    <x:row r="60">
      <x:c r="D60" s="23" t="str">
        <x:f>TEXT('Weekly Demand'!A31,"mmm d")</x:f>
        <x:v>Jun 6</x:v>
      </x:c>
      <x:c r="E60" s="34" t="n">
        <x:f>'Weekly Demand'!E31</x:f>
        <x:v>208</x:v>
      </x:c>
      <x:c r="F60" s="34" t="n">
        <x:f>'Weekly Demand'!H31</x:f>
        <x:v>276.25</x:v>
      </x:c>
    </x:row>
    <x:row r="61">
      <x:c r="D61" s="23" t="str">
        <x:f>TEXT('Weekly Demand'!A32,"mmm d")</x:f>
        <x:v>Jun 13</x:v>
      </x:c>
      <x:c r="E61" s="34" t="n">
        <x:f>'Weekly Demand'!E32</x:f>
        <x:v>174</x:v>
      </x:c>
      <x:c r="F61" s="34" t="n">
        <x:f>'Weekly Demand'!H32</x:f>
        <x:v>236.75</x:v>
      </x:c>
    </x:row>
    <x:row r="62">
      <x:c r="D62" s="23" t="str">
        <x:f>TEXT('Weekly Demand'!A33,"mmm d")</x:f>
        <x:v>Jun 20</x:v>
      </x:c>
      <x:c r="E62" s="34" t="n">
        <x:f>'Weekly Demand'!E33</x:f>
        <x:v>143</x:v>
      </x:c>
      <x:c r="F62" s="34" t="n">
        <x:f>'Weekly Demand'!H33</x:f>
        <x:v>203.5</x:v>
      </x:c>
    </x:row>
    <x:row r="63">
      <x:c r="D63" s="23" t="str">
        <x:f>TEXT('Weekly Demand'!A34,"mmm d")</x:f>
        <x:v>Jun 27</x:v>
      </x:c>
      <x:c r="E63" s="34" t="n">
        <x:f>'Weekly Demand'!E34</x:f>
        <x:v>85</x:v>
      </x:c>
      <x:c r="F63" s="34" t="n">
        <x:f>'Weekly Demand'!H34</x:f>
        <x:v>197</x:v>
      </x:c>
    </x:row>
    <x:row r="64">
      <x:c r="D64" s="23" t="str">
        <x:f>TEXT('Weekly Demand'!A35,"mmm d")</x:f>
        <x:v>Jul 4</x:v>
      </x:c>
      <x:c r="E64" s="34" t="n">
        <x:f>'Weekly Demand'!E35</x:f>
        <x:v>131</x:v>
      </x:c>
      <x:c r="F64" s="34" t="n">
        <x:f>'Weekly Demand'!H35</x:f>
        <x:v>152.5</x:v>
      </x:c>
    </x:row>
    <x:row r="65">
      <x:c r="D65" s="23" t="str">
        <x:f>TEXT('Weekly Demand'!A36,"mmm d")</x:f>
        <x:v>Jul 11</x:v>
      </x:c>
      <x:c r="E65" s="34" t="n">
        <x:f>'Weekly Demand'!E36</x:f>
        <x:v>292</x:v>
      </x:c>
      <x:c r="F65" s="34" t="n">
        <x:f>'Weekly Demand'!H36</x:f>
        <x:v>133.25</x:v>
      </x:c>
    </x:row>
    <x:row r="66">
      <x:c r="D66" s="23" t="str">
        <x:f>TEXT('Weekly Demand'!A37,"mmm d")</x:f>
        <x:v>Jul 18</x:v>
      </x:c>
      <x:c r="E66" s="34" t="n">
        <x:f>'Weekly Demand'!E37</x:f>
        <x:v>341</x:v>
      </x:c>
      <x:c r="F66" s="34" t="n">
        <x:f>'Weekly Demand'!H37</x:f>
        <x:v>162.75</x:v>
      </x:c>
    </x:row>
    <x:row r="67">
      <x:c r="D67" s="23" t="str">
        <x:f>TEXT('Weekly Demand'!A38,"mmm d")</x:f>
        <x:v>Jul 25</x:v>
      </x:c>
      <x:c r="E67" s="34" t="n">
        <x:f>'Weekly Demand'!E38</x:f>
        <x:v>342</x:v>
      </x:c>
      <x:c r="F67" s="34" t="n">
        <x:f>'Weekly Demand'!H38</x:f>
        <x:v>212.25</x:v>
      </x:c>
    </x:row>
    <x:row r="68">
      <x:c r="D68" s="23" t="str">
        <x:f>TEXT('Weekly Demand'!A39,"mmm d")</x:f>
        <x:v>Aug 1</x:v>
      </x:c>
      <x:c r="E68" s="34" t="n">
        <x:f>'Weekly Demand'!E39</x:f>
        <x:v>180</x:v>
      </x:c>
      <x:c r="F68" s="34" t="n">
        <x:f>'Weekly Demand'!H39</x:f>
        <x:v>276.5</x:v>
      </x:c>
    </x:row>
    <x:row r="69">
      <x:c r="D69" s="23" t="str">
        <x:f>TEXT('Weekly Demand'!A40,"mmm d")</x:f>
        <x:v>Aug 8</x:v>
      </x:c>
      <x:c r="E69" s="34" t="n">
        <x:f>'Weekly Demand'!E40</x:f>
        <x:v>178</x:v>
      </x:c>
      <x:c r="F69" s="34" t="n">
        <x:f>'Weekly Demand'!H40</x:f>
        <x:v>288.75</x:v>
      </x:c>
    </x:row>
    <x:row r="70">
      <x:c r="D70" s="23" t="str">
        <x:f>TEXT('Weekly Demand'!A41,"mmm d")</x:f>
        <x:v>Aug 15</x:v>
      </x:c>
      <x:c r="E70" s="34" t="n">
        <x:f>'Weekly Demand'!E41</x:f>
        <x:v>210</x:v>
      </x:c>
      <x:c r="F70" s="34" t="n">
        <x:f>'Weekly Demand'!H41</x:f>
        <x:v>260.25</x:v>
      </x:c>
    </x:row>
    <x:row r="71">
      <x:c r="D71" s="23" t="str">
        <x:f>TEXT('Weekly Demand'!A42,"mmm d")</x:f>
        <x:v>Aug 22</x:v>
      </x:c>
      <x:c r="E71" s="34" t="n">
        <x:f>'Weekly Demand'!E42</x:f>
        <x:v>242</x:v>
      </x:c>
      <x:c r="F71" s="34" t="n">
        <x:f>'Weekly Demand'!H42</x:f>
        <x:v>227.5</x:v>
      </x:c>
    </x:row>
    <x:row r="72">
      <x:c r="D72" s="23" t="str">
        <x:f>TEXT('Weekly Demand'!A43,"mmm d")</x:f>
        <x:v>Aug 29</x:v>
      </x:c>
      <x:c r="E72" s="34" t="n">
        <x:f>'Weekly Demand'!E43</x:f>
        <x:v>147</x:v>
      </x:c>
      <x:c r="F72" s="34" t="n">
        <x:f>'Weekly Demand'!H43</x:f>
        <x:v>202.5</x:v>
      </x:c>
    </x:row>
    <x:row r="73">
      <x:c r="D73" s="23" t="str">
        <x:f>TEXT('Weekly Demand'!A44,"mmm d")</x:f>
        <x:v>Sep 5</x:v>
      </x:c>
      <x:c r="E73" s="34" t="n">
        <x:f>'Weekly Demand'!E44</x:f>
        <x:v>150</x:v>
      </x:c>
      <x:c r="F73" s="34" t="n">
        <x:f>'Weekly Demand'!H44</x:f>
        <x:v>194.25</x:v>
      </x:c>
    </x:row>
    <x:row r="74">
      <x:c r="D74" s="23" t="str">
        <x:f>TEXT('Weekly Demand'!A45,"mmm d")</x:f>
        <x:v>Sep 12</x:v>
      </x:c>
      <x:c r="E74" s="34" t="n">
        <x:f>'Weekly Demand'!E45</x:f>
        <x:v>219</x:v>
      </x:c>
      <x:c r="F74" s="34" t="n">
        <x:f>'Weekly Demand'!H45</x:f>
        <x:v>187.25</x:v>
      </x:c>
    </x:row>
    <x:row r="75">
      <x:c r="D75" s="23" t="str">
        <x:f>TEXT('Weekly Demand'!A46,"mmm d")</x:f>
        <x:v>Sep 19</x:v>
      </x:c>
      <x:c r="E75" s="34" t="n">
        <x:f>'Weekly Demand'!E46</x:f>
        <x:v>147</x:v>
      </x:c>
      <x:c r="F75" s="34" t="n">
        <x:f>'Weekly Demand'!H46</x:f>
        <x:v>189.5</x:v>
      </x:c>
    </x:row>
    <x:row r="76">
      <x:c r="D76" s="23" t="str">
        <x:f>TEXT('Weekly Demand'!A47,"mmm d")</x:f>
        <x:v>Sep 26</x:v>
      </x:c>
      <x:c r="E76" s="34" t="n">
        <x:f>'Weekly Demand'!E47</x:f>
        <x:v>149</x:v>
      </x:c>
      <x:c r="F76" s="34" t="n">
        <x:f>'Weekly Demand'!H47</x:f>
        <x:v>165.75</x:v>
      </x:c>
    </x:row>
    <x:row r="77">
      <x:c r="D77" s="23" t="str">
        <x:f>TEXT('Weekly Demand'!A48,"mmm d")</x:f>
        <x:v>Oct 3</x:v>
      </x:c>
      <x:c r="E77" s="34" t="n">
        <x:f>'Weekly Demand'!E48</x:f>
        <x:v>409</x:v>
      </x:c>
      <x:c r="F77" s="34" t="n">
        <x:f>'Weekly Demand'!H48</x:f>
        <x:v>166.25</x:v>
      </x:c>
    </x:row>
    <x:row r="78">
      <x:c r="D78" s="23" t="str">
        <x:f>TEXT('Weekly Demand'!A49,"mmm d")</x:f>
        <x:v>Oct 10</x:v>
      </x:c>
      <x:c r="E78" s="34" t="n">
        <x:f>'Weekly Demand'!E49</x:f>
        <x:v>214</x:v>
      </x:c>
      <x:c r="F78" s="34" t="n">
        <x:f>'Weekly Demand'!H49</x:f>
        <x:v>231</x:v>
      </x:c>
    </x:row>
    <x:row r="79">
      <x:c r="D79" s="23" t="str">
        <x:f>TEXT('Weekly Demand'!A50,"mmm d")</x:f>
        <x:v>Oct 17</x:v>
      </x:c>
      <x:c r="E79" s="34" t="n">
        <x:f>'Weekly Demand'!E50</x:f>
        <x:v>268</x:v>
      </x:c>
      <x:c r="F79" s="34" t="n">
        <x:f>'Weekly Demand'!H50</x:f>
        <x:v>229.75</x:v>
      </x:c>
    </x:row>
    <x:row r="80">
      <x:c r="D80" s="23" t="str">
        <x:f>TEXT('Weekly Demand'!A51,"mmm d")</x:f>
        <x:v>Oct 24</x:v>
      </x:c>
      <x:c r="E80" s="34" t="n">
        <x:f>'Weekly Demand'!E51</x:f>
        <x:v>135</x:v>
      </x:c>
      <x:c r="F80" s="34" t="n">
        <x:f>'Weekly Demand'!H51</x:f>
        <x:v>260</x:v>
      </x:c>
    </x:row>
    <x:row r="81">
      <x:c r="D81" s="23" t="str">
        <x:f>TEXT('Weekly Demand'!A52,"mmm d")</x:f>
        <x:v>Oct 31</x:v>
      </x:c>
      <x:c r="E81" s="34" t="n">
        <x:f>'Weekly Demand'!E52</x:f>
        <x:v>279</x:v>
      </x:c>
      <x:c r="F81" s="34" t="n">
        <x:f>'Weekly Demand'!H52</x:f>
        <x:v>256.5</x:v>
      </x:c>
    </x:row>
    <x:row r="82">
      <x:c r="D82" s="23" t="str">
        <x:f>TEXT('Weekly Demand'!A53,"mmm d")</x:f>
        <x:v>Nov 7</x:v>
      </x:c>
      <x:c r="E82" s="34" t="n">
        <x:f>'Weekly Demand'!E53</x:f>
        <x:v>169</x:v>
      </x:c>
      <x:c r="F82" s="34" t="n">
        <x:f>'Weekly Demand'!H53</x:f>
        <x:v>224</x:v>
      </x:c>
    </x:row>
    <x:row r="83">
      <x:c r="D83" s="23" t="str">
        <x:f>TEXT('Weekly Demand'!A54,"mmm d")</x:f>
        <x:v>Nov 14</x:v>
      </x:c>
      <x:c r="E83" s="34" t="n">
        <x:f>'Weekly Demand'!E54</x:f>
        <x:v>235</x:v>
      </x:c>
      <x:c r="F83" s="34" t="n">
        <x:f>'Weekly Demand'!H54</x:f>
        <x:v>212.75</x:v>
      </x:c>
    </x:row>
    <x:row r="84">
      <x:c r="D84" s="23" t="str">
        <x:f>TEXT('Weekly Demand'!A55,"mmm d")</x:f>
        <x:v>Nov 21</x:v>
      </x:c>
      <x:c r="E84" s="34" t="n">
        <x:f>'Weekly Demand'!E55</x:f>
        <x:v>261</x:v>
      </x:c>
      <x:c r="F84" s="34" t="n">
        <x:f>'Weekly Demand'!H55</x:f>
        <x:v>204.5</x:v>
      </x:c>
    </x:row>
    <x:row r="85">
      <x:c r="D85" s="24" t="str">
        <x:f>TEXT('Weekly Demand'!A56,"mmm d")</x:f>
        <x:v>Nov 28</x:v>
      </x:c>
      <x:c r="E85" s="53" t="n">
        <x:f>'Weekly Demand'!E56</x:f>
        <x:v>236</x:v>
      </x:c>
      <x:c r="F85" s="53" t="n">
        <x:f>'Weekly Demand'!H56</x:f>
        <x:v>236</x:v>
      </x:c>
    </x:row>
  </x:sheetData>
  <x:mergeCells>
    <x:mergeCell ref="A1:J1"/>
    <x:mergeCell ref="A2:J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A8:J8"/>
    <x:mergeCell ref="A9:J12"/>
  </x:mergeCells>
  <x:pageMargins left="0.7" right="0.7" top="0.75" bottom="0.75" header="0.3" footer="0.3"/>
  <x:drawing xmlns:r="http://schemas.openxmlformats.org/officeDocument/2006/relationships" r:id="Rf2df8dadfa79427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4" t="str">
        <x:v>Retail Demand &amp; Inventory Planning</x:v>
      </x:c>
      <x:c r="B1" s="4" t="str">
        <x:v>Retail Demand &amp; Inventory Planning</x:v>
      </x:c>
      <x:c r="C1" s="4" t="str">
        <x:v>Retail Demand &amp; Inventory Planning</x:v>
      </x:c>
      <x:c r="D1" s="4" t="str">
        <x:v>Retail Demand &amp; Inventory Planning</x:v>
      </x:c>
      <x:c r="E1" s="4" t="str">
        <x:v>Retail Demand &amp; Inventory Planning</x:v>
      </x:c>
      <x:c r="F1" s="4" t="str">
        <x:v>Retail Demand &amp; Inventory Planning</x:v>
      </x:c>
      <x:c r="G1" s="4" t="str">
        <x:v>Retail Demand &amp; Inventory Planning</x:v>
      </x:c>
      <x:c r="H1" s="4" t="str">
        <x:v>Retail Demand &amp; Inventory Planning</x:v>
      </x:c>
    </x:row>
    <x:row r="2" ht="30" customHeight="1">
      <x:c r="A2" s="8" t="str">
        <x:v>Independent Excel project using a public retail transaction dataset from the UCI Machine Learning Repository.</x:v>
      </x:c>
      <x:c r="B2" s="8" t="str">
        <x:v>Independent Excel project using a public retail transaction dataset from the UCI Machine Learning Repository.</x:v>
      </x:c>
      <x:c r="C2" s="8" t="str">
        <x:v>Independent Excel project using a public retail transaction dataset from the UCI Machine Learning Repository.</x:v>
      </x:c>
      <x:c r="D2" s="8" t="str">
        <x:v>Independent Excel project using a public retail transaction dataset from the UCI Machine Learning Repository.</x:v>
      </x:c>
      <x:c r="E2" s="8" t="str">
        <x:v>Independent Excel project using a public retail transaction dataset from the UCI Machine Learning Repository.</x:v>
      </x:c>
      <x:c r="F2" s="8" t="str">
        <x:v>Independent Excel project using a public retail transaction dataset from the UCI Machine Learning Repository.</x:v>
      </x:c>
      <x:c r="G2" s="8" t="str">
        <x:v>Independent Excel project using a public retail transaction dataset from the UCI Machine Learning Repository.</x:v>
      </x:c>
      <x:c r="H2" s="8" t="str">
        <x:v>Independent Excel project using a public retail transaction dataset from the UCI Machine Learning Repository.</x:v>
      </x:c>
    </x:row>
    <x:row r="4" ht="22" customHeight="1">
      <x:c r="A4" s="32" t="str">
        <x:v>Business question</x:v>
      </x:c>
      <x:c r="B4" s="32" t="str">
        <x:v>Business question</x:v>
      </x:c>
      <x:c r="C4" s="32" t="str">
        <x:v>Business question</x:v>
      </x:c>
      <x:c r="D4" s="32" t="str">
        <x:v>Business question</x:v>
      </x:c>
      <x:c r="E4" s="32" t="str">
        <x:v>Business question</x:v>
      </x:c>
      <x:c r="F4" s="32" t="str">
        <x:v>Business question</x:v>
      </x:c>
      <x:c r="G4" s="32" t="str">
        <x:v>Business question</x:v>
      </x:c>
      <x:c r="H4" s="32" t="str">
        <x:v>Business question</x:v>
      </x:c>
    </x:row>
    <x:row r="5">
      <x:c r="A5" s="129" t="str">
        <x:v>How should a retailer forecast weekly demand and set inventory reorder points for its highest-revenue products while balancing availability and excess inventory?</x:v>
      </x:c>
      <x:c r="B5" s="129" t="str">
        <x:v>How should a retailer forecast weekly demand and set inventory reorder points for its highest-revenue products while balancing availability and excess inventory?</x:v>
      </x:c>
      <x:c r="C5" s="129" t="str">
        <x:v>How should a retailer forecast weekly demand and set inventory reorder points for its highest-revenue products while balancing availability and excess inventory?</x:v>
      </x:c>
      <x:c r="D5" s="129" t="str">
        <x:v>How should a retailer forecast weekly demand and set inventory reorder points for its highest-revenue products while balancing availability and excess inventory?</x:v>
      </x:c>
      <x:c r="E5" s="129" t="str">
        <x:v>How should a retailer forecast weekly demand and set inventory reorder points for its highest-revenue products while balancing availability and excess inventory?</x:v>
      </x:c>
      <x:c r="F5" s="129" t="str">
        <x:v>How should a retailer forecast weekly demand and set inventory reorder points for its highest-revenue products while balancing availability and excess inventory?</x:v>
      </x:c>
      <x:c r="G5" s="129" t="str">
        <x:v>How should a retailer forecast weekly demand and set inventory reorder points for its highest-revenue products while balancing availability and excess inventory?</x:v>
      </x:c>
      <x:c r="H5" s="129" t="str">
        <x:v>How should a retailer forecast weekly demand and set inventory reorder points for its highest-revenue products while balancing availability and excess inventory?</x:v>
      </x:c>
    </x:row>
    <x:row r="6">
      <x:c r="A6" s="129" t="str">
        <x:v>How should a retailer forecast weekly demand and set inventory reorder points for its highest-revenue products while balancing availability and excess inventory?</x:v>
      </x:c>
      <x:c r="B6" s="129" t="str">
        <x:v>How should a retailer forecast weekly demand and set inventory reorder points for its highest-revenue products while balancing availability and excess inventory?</x:v>
      </x:c>
      <x:c r="C6" s="129" t="str">
        <x:v>How should a retailer forecast weekly demand and set inventory reorder points for its highest-revenue products while balancing availability and excess inventory?</x:v>
      </x:c>
      <x:c r="D6" s="129" t="str">
        <x:v>How should a retailer forecast weekly demand and set inventory reorder points for its highest-revenue products while balancing availability and excess inventory?</x:v>
      </x:c>
      <x:c r="E6" s="129" t="str">
        <x:v>How should a retailer forecast weekly demand and set inventory reorder points for its highest-revenue products while balancing availability and excess inventory?</x:v>
      </x:c>
      <x:c r="F6" s="129" t="str">
        <x:v>How should a retailer forecast weekly demand and set inventory reorder points for its highest-revenue products while balancing availability and excess inventory?</x:v>
      </x:c>
      <x:c r="G6" s="129" t="str">
        <x:v>How should a retailer forecast weekly demand and set inventory reorder points for its highest-revenue products while balancing availability and excess inventory?</x:v>
      </x:c>
      <x:c r="H6" s="129" t="str">
        <x:v>How should a retailer forecast weekly demand and set inventory reorder points for its highest-revenue products while balancing availability and excess inventory?</x:v>
      </x:c>
    </x:row>
    <x:row r="8" ht="22" customHeight="1">
      <x:c r="A8" s="32" t="str">
        <x:v>Scope and method</x:v>
      </x:c>
      <x:c r="B8" s="32" t="str">
        <x:v>Scope and method</x:v>
      </x:c>
      <x:c r="C8" s="32" t="str">
        <x:v>Scope and method</x:v>
      </x:c>
      <x:c r="D8" s="32" t="str">
        <x:v>Scope and method</x:v>
      </x:c>
      <x:c r="E8" s="32" t="str">
        <x:v>Scope and method</x:v>
      </x:c>
      <x:c r="F8" s="32" t="str">
        <x:v>Scope and method</x:v>
      </x:c>
      <x:c r="G8" s="32" t="str">
        <x:v>Scope and method</x:v>
      </x:c>
      <x:c r="H8" s="32" t="str">
        <x:v>Scope and method</x:v>
      </x:c>
    </x:row>
    <x:row r="9">
      <x:c r="A9" s="136" t="str">
        <x:v>1</x:v>
      </x:c>
      <x:c r="B9" s="139" t="str">
        <x:v>Clean transactions</x:v>
      </x:c>
      <x:c r="C9" s="37" t="str">
        <x:v>Excluded cancellations, returns, zero-price lines, and non-inventory service codes.</x:v>
      </x:c>
      <x:c r="D9" s="37" t="str"/>
      <x:c r="E9" s="37" t="str"/>
      <x:c r="F9" s="37" t="str"/>
      <x:c r="G9" s="37" t="str"/>
      <x:c r="H9" s="37" t="str"/>
    </x:row>
    <x:row r="10">
      <x:c r="A10" s="137" t="str">
        <x:v>2</x:v>
      </x:c>
      <x:c r="B10" s="140" t="str">
        <x:v>Define the portfolio</x:v>
      </x:c>
      <x:c r="C10" s="39" t="str">
        <x:v>Ranked products by revenue and selected the 20 highest-revenue physical SKUs.</x:v>
      </x:c>
      <x:c r="D10" s="39" t="str"/>
      <x:c r="E10" s="39" t="str"/>
      <x:c r="F10" s="39" t="str"/>
      <x:c r="G10" s="39" t="str"/>
      <x:c r="H10" s="39" t="str"/>
    </x:row>
    <x:row r="11">
      <x:c r="A11" s="137" t="str">
        <x:v>3</x:v>
      </x:c>
      <x:c r="B11" s="140" t="str">
        <x:v>Aggregate demand</x:v>
      </x:c>
      <x:c r="C11" s="39" t="str">
        <x:v>Converted transactions into 52 complete weeks of SKU-level demand.</x:v>
      </x:c>
      <x:c r="D11" s="39" t="str"/>
      <x:c r="E11" s="39" t="str"/>
      <x:c r="F11" s="39" t="str"/>
      <x:c r="G11" s="39" t="str"/>
      <x:c r="H11" s="39" t="str"/>
    </x:row>
    <x:row r="12">
      <x:c r="A12" s="137" t="str">
        <x:v>4</x:v>
      </x:c>
      <x:c r="B12" s="140" t="str">
        <x:v>Backtest forecasts</x:v>
      </x:c>
      <x:c r="C12" s="39" t="str">
        <x:v>Compared one-week naive, four-week moving-average, and eight-week moving-average methods over an eight-week holdout period.</x:v>
      </x:c>
      <x:c r="D12" s="39" t="str"/>
      <x:c r="E12" s="39" t="str"/>
      <x:c r="F12" s="39" t="str"/>
      <x:c r="G12" s="39" t="str"/>
      <x:c r="H12" s="39" t="str"/>
    </x:row>
    <x:row r="13">
      <x:c r="A13" s="137" t="str">
        <x:v>5</x:v>
      </x:c>
      <x:c r="B13" s="140" t="str">
        <x:v>Segment inventory</x:v>
      </x:c>
      <x:c r="C13" s="39" t="str">
        <x:v>Assigned ABC classes using cumulative revenue contribution.</x:v>
      </x:c>
      <x:c r="D13" s="39" t="str"/>
      <x:c r="E13" s="39" t="str"/>
      <x:c r="F13" s="39" t="str"/>
      <x:c r="G13" s="39" t="str"/>
      <x:c r="H13" s="39" t="str"/>
    </x:row>
    <x:row r="14">
      <x:c r="A14" s="138" t="str">
        <x:v>6</x:v>
      </x:c>
      <x:c r="B14" s="141" t="str">
        <x:v>Set inventory policy</x:v>
      </x:c>
      <x:c r="C14" s="43" t="str">
        <x:v>Calculated safety stock and reorder points using demand variability, a two-week lead time, and a 95% service target.</x:v>
      </x:c>
      <x:c r="D14" s="43" t="str"/>
      <x:c r="E14" s="43" t="str"/>
      <x:c r="F14" s="43" t="str"/>
      <x:c r="G14" s="43" t="str"/>
      <x:c r="H14" s="43" t="str"/>
    </x:row>
    <x:row r="16" ht="22" customHeight="1">
      <x:c r="A16" s="32" t="str">
        <x:v>Results and recommendations</x:v>
      </x:c>
      <x:c r="B16" s="32" t="str">
        <x:v>Results and recommendations</x:v>
      </x:c>
      <x:c r="C16" s="32" t="str">
        <x:v>Results and recommendations</x:v>
      </x:c>
      <x:c r="D16" s="32" t="str">
        <x:v>Results and recommendations</x:v>
      </x:c>
      <x:c r="E16" s="32" t="str">
        <x:v>Results and recommendations</x:v>
      </x:c>
      <x:c r="F16" s="32" t="str">
        <x:v>Results and recommendations</x:v>
      </x:c>
      <x:c r="G16" s="32" t="str">
        <x:v>Results and recommendations</x:v>
      </x:c>
      <x:c r="H16" s="32" t="str">
        <x:v>Results and recommendations</x:v>
      </x:c>
    </x:row>
    <x:row r="17">
      <x:c r="A17" s="142" t="str">
        <x:v>Forecast selection</x:v>
      </x:c>
      <x:c r="B17" s="37" t="str">
        <x:v>The four-week moving average produced 44.9% portfolio WMAPE and reduced error 17.8% compared with the one-week naive benchmark.</x:v>
      </x:c>
      <x:c r="C17" s="37" t="str"/>
      <x:c r="D17" s="37" t="str"/>
      <x:c r="E17" s="37" t="str"/>
      <x:c r="F17" s="37" t="str"/>
      <x:c r="G17" s="37" t="str"/>
      <x:c r="H17" s="37" t="str"/>
    </x:row>
    <x:row r="18">
      <x:c r="A18" s="143" t="str">
        <x:v>Inventory focus</x:v>
      </x:c>
      <x:c r="B18" s="39" t="str">
        <x:v>A-class products warrant weekly review because they account for most modeled revenue.</x:v>
      </x:c>
      <x:c r="C18" s="39" t="str"/>
      <x:c r="D18" s="39" t="str"/>
      <x:c r="E18" s="39" t="str"/>
      <x:c r="F18" s="39" t="str"/>
      <x:c r="G18" s="39" t="str"/>
      <x:c r="H18" s="39" t="str"/>
    </x:row>
    <x:row r="19">
      <x:c r="A19" s="143" t="str">
        <x:v>Policy design</x:v>
      </x:c>
      <x:c r="B19" s="39" t="str">
        <x:v>SKU-specific safety stock and reorder points reflect each product's demand level and variability.</x:v>
      </x:c>
      <x:c r="C19" s="39" t="str"/>
      <x:c r="D19" s="39" t="str"/>
      <x:c r="E19" s="39" t="str"/>
      <x:c r="F19" s="39" t="str"/>
      <x:c r="G19" s="39" t="str"/>
      <x:c r="H19" s="39" t="str"/>
    </x:row>
    <x:row r="20">
      <x:c r="A20" s="143" t="str">
        <x:v>Exception management</x:v>
      </x:c>
      <x:c r="B20" s="39" t="str">
        <x:v>Highly variable products require planner review rather than a single portfolio-wide inventory rule.</x:v>
      </x:c>
      <x:c r="C20" s="39" t="str"/>
      <x:c r="D20" s="39" t="str"/>
      <x:c r="E20" s="39" t="str"/>
      <x:c r="F20" s="39" t="str"/>
      <x:c r="G20" s="39" t="str"/>
      <x:c r="H20" s="39" t="str"/>
    </x:row>
    <x:row r="21">
      <x:c r="A21" s="144" t="str">
        <x:v>Limitations</x:v>
      </x:c>
      <x:c r="B21" s="43" t="str">
        <x:v>The model excludes promotions, stockout flags, supplier lead-time variability, and inventory carrying costs.</x:v>
      </x:c>
      <x:c r="C21" s="43" t="str"/>
      <x:c r="D21" s="43" t="str"/>
      <x:c r="E21" s="43" t="str"/>
      <x:c r="F21" s="43" t="str"/>
      <x:c r="G21" s="43" t="str"/>
      <x:c r="H21" s="43" t="str"/>
    </x:row>
    <x:row r="23" ht="22" customHeight="1">
      <x:c r="A23" s="32" t="str">
        <x:v>Data source</x:v>
      </x:c>
      <x:c r="B23" s="32" t="str">
        <x:v>Data source</x:v>
      </x:c>
      <x:c r="C23" s="32" t="str">
        <x:v>Data source</x:v>
      </x:c>
      <x:c r="D23" s="32" t="str">
        <x:v>Data source</x:v>
      </x:c>
      <x:c r="E23" s="32" t="str">
        <x:v>Data source</x:v>
      </x:c>
      <x:c r="F23" s="32" t="str">
        <x:v>Data source</x:v>
      </x:c>
      <x:c r="G23" s="32" t="str">
        <x:v>Data source</x:v>
      </x:c>
      <x:c r="H23" s="32" t="str">
        <x:v>Data source</x:v>
      </x:c>
    </x:row>
    <x:row r="24">
      <x:c r="A24" s="147" t="str">
        <x:v>UCI Machine Learning Repository, Online Retail dataset. https://archive.ics.uci.edu/dataset/352/online+retail
DOI: https://doi.org/10.24432/C5BW33
License: CC BY 4.0</x:v>
      </x:c>
      <x:c r="B24" s="147" t="str">
        <x:v>UCI Machine Learning Repository, Online Retail dataset. https://archive.ics.uci.edu/dataset/352/online+retail
DOI: https://doi.org/10.24432/C5BW33
License: CC BY 4.0</x:v>
      </x:c>
      <x:c r="C24" s="147" t="str">
        <x:v>UCI Machine Learning Repository, Online Retail dataset. https://archive.ics.uci.edu/dataset/352/online+retail
DOI: https://doi.org/10.24432/C5BW33
License: CC BY 4.0</x:v>
      </x:c>
      <x:c r="D24" s="147" t="str">
        <x:v>UCI Machine Learning Repository, Online Retail dataset. https://archive.ics.uci.edu/dataset/352/online+retail
DOI: https://doi.org/10.24432/C5BW33
License: CC BY 4.0</x:v>
      </x:c>
      <x:c r="E24" s="147" t="str">
        <x:v>UCI Machine Learning Repository, Online Retail dataset. https://archive.ics.uci.edu/dataset/352/online+retail
DOI: https://doi.org/10.24432/C5BW33
License: CC BY 4.0</x:v>
      </x:c>
      <x:c r="F24" s="147" t="str">
        <x:v>UCI Machine Learning Repository, Online Retail dataset. https://archive.ics.uci.edu/dataset/352/online+retail
DOI: https://doi.org/10.24432/C5BW33
License: CC BY 4.0</x:v>
      </x:c>
      <x:c r="G24" s="147" t="str">
        <x:v>UCI Machine Learning Repository, Online Retail dataset. https://archive.ics.uci.edu/dataset/352/online+retail
DOI: https://doi.org/10.24432/C5BW33
License: CC BY 4.0</x:v>
      </x:c>
      <x:c r="H24" s="147" t="str">
        <x:v>UCI Machine Learning Repository, Online Retail dataset. https://archive.ics.uci.edu/dataset/352/online+retail
DOI: https://doi.org/10.24432/C5BW33
License: CC BY 4.0</x:v>
      </x:c>
    </x:row>
    <x:row r="25">
      <x:c r="A25" s="147" t="str">
        <x:v>UCI Machine Learning Repository, Online Retail dataset. https://archive.ics.uci.edu/dataset/352/online+retail
DOI: https://doi.org/10.24432/C5BW33
License: CC BY 4.0</x:v>
      </x:c>
      <x:c r="B25" s="147" t="str">
        <x:v>UCI Machine Learning Repository, Online Retail dataset. https://archive.ics.uci.edu/dataset/352/online+retail
DOI: https://doi.org/10.24432/C5BW33
License: CC BY 4.0</x:v>
      </x:c>
      <x:c r="C25" s="147" t="str">
        <x:v>UCI Machine Learning Repository, Online Retail dataset. https://archive.ics.uci.edu/dataset/352/online+retail
DOI: https://doi.org/10.24432/C5BW33
License: CC BY 4.0</x:v>
      </x:c>
      <x:c r="D25" s="147" t="str">
        <x:v>UCI Machine Learning Repository, Online Retail dataset. https://archive.ics.uci.edu/dataset/352/online+retail
DOI: https://doi.org/10.24432/C5BW33
License: CC BY 4.0</x:v>
      </x:c>
      <x:c r="E25" s="147" t="str">
        <x:v>UCI Machine Learning Repository, Online Retail dataset. https://archive.ics.uci.edu/dataset/352/online+retail
DOI: https://doi.org/10.24432/C5BW33
License: CC BY 4.0</x:v>
      </x:c>
      <x:c r="F25" s="147" t="str">
        <x:v>UCI Machine Learning Repository, Online Retail dataset. https://archive.ics.uci.edu/dataset/352/online+retail
DOI: https://doi.org/10.24432/C5BW33
License: CC BY 4.0</x:v>
      </x:c>
      <x:c r="G25" s="147" t="str">
        <x:v>UCI Machine Learning Repository, Online Retail dataset. https://archive.ics.uci.edu/dataset/352/online+retail
DOI: https://doi.org/10.24432/C5BW33
License: CC BY 4.0</x:v>
      </x:c>
      <x:c r="H25" s="147" t="str">
        <x:v>UCI Machine Learning Repository, Online Retail dataset. https://archive.ics.uci.edu/dataset/352/online+retail
DOI: https://doi.org/10.24432/C5BW33
License: CC BY 4.0</x:v>
      </x:c>
    </x:row>
    <x:row r="26">
      <x:c r="A26" s="147" t="str">
        <x:v>UCI Machine Learning Repository, Online Retail dataset. https://archive.ics.uci.edu/dataset/352/online+retail
DOI: https://doi.org/10.24432/C5BW33
License: CC BY 4.0</x:v>
      </x:c>
      <x:c r="B26" s="147" t="str">
        <x:v>UCI Machine Learning Repository, Online Retail dataset. https://archive.ics.uci.edu/dataset/352/online+retail
DOI: https://doi.org/10.24432/C5BW33
License: CC BY 4.0</x:v>
      </x:c>
      <x:c r="C26" s="147" t="str">
        <x:v>UCI Machine Learning Repository, Online Retail dataset. https://archive.ics.uci.edu/dataset/352/online+retail
DOI: https://doi.org/10.24432/C5BW33
License: CC BY 4.0</x:v>
      </x:c>
      <x:c r="D26" s="147" t="str">
        <x:v>UCI Machine Learning Repository, Online Retail dataset. https://archive.ics.uci.edu/dataset/352/online+retail
DOI: https://doi.org/10.24432/C5BW33
License: CC BY 4.0</x:v>
      </x:c>
      <x:c r="E26" s="147" t="str">
        <x:v>UCI Machine Learning Repository, Online Retail dataset. https://archive.ics.uci.edu/dataset/352/online+retail
DOI: https://doi.org/10.24432/C5BW33
License: CC BY 4.0</x:v>
      </x:c>
      <x:c r="F26" s="147" t="str">
        <x:v>UCI Machine Learning Repository, Online Retail dataset. https://archive.ics.uci.edu/dataset/352/online+retail
DOI: https://doi.org/10.24432/C5BW33
License: CC BY 4.0</x:v>
      </x:c>
      <x:c r="G26" s="147" t="str">
        <x:v>UCI Machine Learning Repository, Online Retail dataset. https://archive.ics.uci.edu/dataset/352/online+retail
DOI: https://doi.org/10.24432/C5BW33
License: CC BY 4.0</x:v>
      </x:c>
      <x:c r="H26" s="147" t="str">
        <x:v>UCI Machine Learning Repository, Online Retail dataset. https://archive.ics.uci.edu/dataset/352/online+retail
DOI: https://doi.org/10.24432/C5BW33
License: CC BY 4.0</x:v>
      </x:c>
    </x:row>
  </x:sheetData>
  <x:mergeCells>
    <x:mergeCell ref="A1:H1"/>
    <x:mergeCell ref="A2:H2"/>
    <x:mergeCell ref="A4:H4"/>
    <x:mergeCell ref="A5:H6"/>
    <x:mergeCell ref="A8:H8"/>
    <x:mergeCell ref="C9:H9"/>
    <x:mergeCell ref="C10:H10"/>
    <x:mergeCell ref="C11:H11"/>
    <x:mergeCell ref="C12:H12"/>
    <x:mergeCell ref="C13:H13"/>
    <x:mergeCell ref="C14:H14"/>
    <x:mergeCell ref="A16:H16"/>
    <x:mergeCell ref="B17:H17"/>
    <x:mergeCell ref="B18:H18"/>
    <x:mergeCell ref="B19:H19"/>
    <x:mergeCell ref="B20:H20"/>
    <x:mergeCell ref="B21:H21"/>
    <x:mergeCell ref="A23:H23"/>
    <x:mergeCell ref="A24:H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7" hidden="0" customWidth="1"/>
    <x:col min="2" max="2" width="11" hidden="0" customWidth="1"/>
    <x:col min="3" max="3" width="3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34" customHeight="1">
      <x:c r="A1" s="4" t="str">
        <x:v>Product Summary and Inventory Policy</x:v>
      </x:c>
      <x:c r="B1" s="4" t="str">
        <x:v>Product Summary and Inventory Policy</x:v>
      </x:c>
      <x:c r="C1" s="4" t="str">
        <x:v>Product Summary and Inventory Policy</x:v>
      </x:c>
      <x:c r="D1" s="4" t="str">
        <x:v>Product Summary and Inventory Policy</x:v>
      </x:c>
      <x:c r="E1" s="4" t="str">
        <x:v>Product Summary and Inventory Policy</x:v>
      </x:c>
      <x:c r="F1" s="4" t="str">
        <x:v>Product Summary and Inventory Policy</x:v>
      </x:c>
      <x:c r="G1" s="4" t="str">
        <x:v>Product Summary and Inventory Policy</x:v>
      </x:c>
      <x:c r="H1" s="4" t="str">
        <x:v>Product Summary and Inventory Policy</x:v>
      </x:c>
      <x:c r="I1" s="4" t="str">
        <x:v>Product Summary and Inventory Policy</x:v>
      </x:c>
      <x:c r="J1" s="4" t="str">
        <x:v>Product Summary and Inventory Policy</x:v>
      </x:c>
      <x:c r="K1" s="4" t="str">
        <x:v>Product Summary and Inventory Policy</x:v>
      </x:c>
      <x:c r="L1" s="4" t="str">
        <x:v>Product Summary and Inventory Policy</x:v>
      </x:c>
      <x:c r="M1" s="4" t="str">
        <x:v>Product Summary and Inventory Policy</x:v>
      </x:c>
      <x:c r="N1" s="4" t="str">
        <x:v>Product Summary and Inventory Policy</x:v>
      </x:c>
      <x:c r="O1" s="4" t="str">
        <x:v>Product Summary and Inventory Policy</x:v>
      </x:c>
      <x:c r="P1" s="4" t="str">
        <x:v>Product Summary and Inventory Policy</x:v>
      </x:c>
      <x:c r="Q1" s="4" t="str">
        <x:v>Product Summary and Inventory Policy</x:v>
      </x:c>
      <x:c r="R1" s="4" t="str">
        <x:v>Product Summary and Inventory Policy</x:v>
      </x:c>
      <x:c r="S1" s="4" t="str">
        <x:v>Product Summary and Inventory Policy</x:v>
      </x:c>
    </x:row>
    <x:row r="2" ht="30" customHeight="1">
      <x:c r="A2" s="8" t="str">
        <x:v>Products are ranked by revenue. Forecast error is measured on the eight-week validation period only.</x:v>
      </x:c>
      <x:c r="B2" s="8" t="str">
        <x:v>Products are ranked by revenue. Forecast error is measured on the eight-week validation period only.</x:v>
      </x:c>
      <x:c r="C2" s="8" t="str">
        <x:v>Products are ranked by revenue. Forecast error is measured on the eight-week validation period only.</x:v>
      </x:c>
      <x:c r="D2" s="8" t="str">
        <x:v>Products are ranked by revenue. Forecast error is measured on the eight-week validation period only.</x:v>
      </x:c>
      <x:c r="E2" s="8" t="str">
        <x:v>Products are ranked by revenue. Forecast error is measured on the eight-week validation period only.</x:v>
      </x:c>
      <x:c r="F2" s="8" t="str">
        <x:v>Products are ranked by revenue. Forecast error is measured on the eight-week validation period only.</x:v>
      </x:c>
      <x:c r="G2" s="8" t="str">
        <x:v>Products are ranked by revenue. Forecast error is measured on the eight-week validation period only.</x:v>
      </x:c>
      <x:c r="H2" s="8" t="str">
        <x:v>Products are ranked by revenue. Forecast error is measured on the eight-week validation period only.</x:v>
      </x:c>
      <x:c r="I2" s="8" t="str">
        <x:v>Products are ranked by revenue. Forecast error is measured on the eight-week validation period only.</x:v>
      </x:c>
      <x:c r="J2" s="8" t="str">
        <x:v>Products are ranked by revenue. Forecast error is measured on the eight-week validation period only.</x:v>
      </x:c>
      <x:c r="K2" s="8" t="str">
        <x:v>Products are ranked by revenue. Forecast error is measured on the eight-week validation period only.</x:v>
      </x:c>
      <x:c r="L2" s="8" t="str">
        <x:v>Products are ranked by revenue. Forecast error is measured on the eight-week validation period only.</x:v>
      </x:c>
      <x:c r="M2" s="8" t="str">
        <x:v>Products are ranked by revenue. Forecast error is measured on the eight-week validation period only.</x:v>
      </x:c>
      <x:c r="N2" s="8" t="str">
        <x:v>Products are ranked by revenue. Forecast error is measured on the eight-week validation period only.</x:v>
      </x:c>
      <x:c r="O2" s="8" t="str">
        <x:v>Products are ranked by revenue. Forecast error is measured on the eight-week validation period only.</x:v>
      </x:c>
      <x:c r="P2" s="8" t="str">
        <x:v>Products are ranked by revenue. Forecast error is measured on the eight-week validation period only.</x:v>
      </x:c>
      <x:c r="Q2" s="8" t="str">
        <x:v>Products are ranked by revenue. Forecast error is measured on the eight-week validation period only.</x:v>
      </x:c>
      <x:c r="R2" s="8" t="str">
        <x:v>Products are ranked by revenue. Forecast error is measured on the eight-week validation period only.</x:v>
      </x:c>
      <x:c r="S2" s="8" t="str">
        <x:v>Products are ranked by revenue. Forecast error is measured on the eight-week validation period only.</x:v>
      </x:c>
    </x:row>
    <x:row r="4" ht="30" customHeight="1">
      <x:c r="A4" s="16" t="str">
        <x:v>Rank</x:v>
      </x:c>
      <x:c r="B4" s="51" t="str">
        <x:v>SKU</x:v>
      </x:c>
      <x:c r="C4" s="51" t="str">
        <x:v>Product</x:v>
      </x:c>
      <x:c r="D4" s="51" t="str">
        <x:v>Total Units</x:v>
      </x:c>
      <x:c r="E4" s="51" t="str">
        <x:v>Revenue (£)</x:v>
      </x:c>
      <x:c r="F4" s="51" t="str">
        <x:v>Revenue Share</x:v>
      </x:c>
      <x:c r="G4" s="51" t="str">
        <x:v>Cumulative Share</x:v>
      </x:c>
      <x:c r="H4" s="51" t="str">
        <x:v>ABC Class</x:v>
      </x:c>
      <x:c r="I4" s="51" t="str">
        <x:v>Avg Weekly Demand</x:v>
      </x:c>
      <x:c r="J4" s="51" t="str">
        <x:v>Demand Std Dev</x:v>
      </x:c>
      <x:c r="K4" s="51" t="str">
        <x:v>Next-Week Forecast</x:v>
      </x:c>
      <x:c r="L4" s="51" t="str">
        <x:v>WMAPE: 4W</x:v>
      </x:c>
      <x:c r="M4" s="51" t="str">
        <x:v>WMAPE: Naive</x:v>
      </x:c>
      <x:c r="N4" s="51" t="str">
        <x:v>Error Improvement</x:v>
      </x:c>
      <x:c r="O4" s="51" t="str">
        <x:v>Lead Time (Wks)</x:v>
      </x:c>
      <x:c r="P4" s="51" t="str">
        <x:v>Service Level</x:v>
      </x:c>
      <x:c r="Q4" s="51" t="str">
        <x:v>Safety Stock</x:v>
      </x:c>
      <x:c r="R4" s="51" t="str">
        <x:v>Reorder Point</x:v>
      </x:c>
      <x:c r="S4" s="17" t="str">
        <x:v>4-Week Forecast</x:v>
      </x:c>
    </x:row>
    <x:row r="5">
      <x:c r="A5" s="22" t="n">
        <x:v>1</x:v>
      </x:c>
      <x:c r="B5" s="22" t="str">
        <x:v>22423</x:v>
      </x:c>
      <x:c r="C5" s="22" t="str">
        <x:v>REGENCY CAKESTAND 3 TIER</x:v>
      </x:c>
      <x:c r="D5" s="33" t="n">
        <x:f>SUMIFS('Weekly Demand'!$E$5:$E$1044,'Weekly Demand'!$C$5:$C$1044,$B5)</x:f>
        <x:v>12881</x:v>
      </x:c>
      <x:c r="E5" s="63" t="n">
        <x:f>SUMIFS('Weekly Demand'!$F$5:$F$1044,'Weekly Demand'!$C$5:$C$1044,$B5)</x:f>
        <x:v>161882.18999999997</x:v>
      </x:c>
      <x:c r="F5" s="60" t="n">
        <x:f>E5/SUM($E$5:$E$24)</x:f>
        <x:v>0.13564109723851178</x:v>
      </x:c>
      <x:c r="G5" s="60" t="n">
        <x:f>SUM($F$5:F5)</x:f>
        <x:v>0.13564109723851178</x:v>
      </x:c>
      <x:c r="H5" s="22" t="str">
        <x:f>IF(G5&lt;=0.8,"A",IF(G5&lt;=0.95,"B","C"))</x:f>
        <x:v>A</x:v>
      </x:c>
      <x:c r="I5" s="57" t="n">
        <x:f>AVERAGE('Weekly Demand'!E5:E56)</x:f>
        <x:v>247.71153846153845</x:v>
      </x:c>
      <x:c r="J5" s="57" t="n">
        <x:f>STDEV.S('Weekly Demand'!E5:E56)</x:f>
        <x:v>126.39547902973175</x:v>
      </x:c>
      <x:c r="K5" s="57" t="n">
        <x:f>AVERAGE('Weekly Demand'!E53:E56)</x:f>
        <x:v>225.25</x:v>
      </x:c>
      <x:c r="L5" s="60" t="n">
        <x:f>IFERROR(SUMIFS('Weekly Demand'!$K$5:$K$1044,'Weekly Demand'!$C$5:$C$1044,$B5,'Weekly Demand'!$M$5:$M$1044,"Validation")/SUMIFS('Weekly Demand'!$E$5:$E$1044,'Weekly Demand'!$C$5:$C$1044,$B5,'Weekly Demand'!$M$5:$M$1044,"Validation"),"")</x:f>
        <x:v>0.1872565386755704</x:v>
      </x:c>
      <x:c r="M5" s="60" t="n">
        <x:f>IFERROR(SUMIFS('Weekly Demand'!$J$5:$J$1044,'Weekly Demand'!$C$5:$C$1044,$B5,'Weekly Demand'!$M$5:$M$1044,"Validation")/SUMIFS('Weekly Demand'!$E$5:$E$1044,'Weekly Demand'!$C$5:$C$1044,$B5,'Weekly Demand'!$M$5:$M$1044,"Validation"),"")</x:f>
        <x:v>0.41903171953255425</x:v>
      </x:c>
      <x:c r="N5" s="60" t="n">
        <x:f>IFERROR(1-L5/M5,"")</x:f>
        <x:v>0.5531208499335989</x:v>
      </x:c>
      <x:c r="O5" s="22" t="n">
        <x:f>'Assumptions &amp; Source'!B7</x:f>
        <x:v>2</x:v>
      </x:c>
      <x:c r="P5" s="60" t="n">
        <x:f>'Assumptions &amp; Source'!B8</x:f>
        <x:v>0.95</x:v>
      </x:c>
      <x:c r="Q5" s="33" t="n">
        <x:f>'Assumptions &amp; Source'!B9*J5*SQRT(O5)</x:f>
        <x:v>294.0440800963773</x:v>
      </x:c>
      <x:c r="R5" s="33" t="n">
        <x:f>ROUND(I5*O5+Q5,0)</x:f>
        <x:v>789</x:v>
      </x:c>
      <x:c r="S5" s="33" t="n">
        <x:f>ROUND(K5*4,0)</x:f>
        <x:v>901</x:v>
      </x:c>
    </x:row>
    <x:row r="6">
      <x:c r="A6" s="23" t="n">
        <x:v>2</x:v>
      </x:c>
      <x:c r="B6" s="23" t="str">
        <x:v>85123A</x:v>
      </x:c>
      <x:c r="C6" s="23" t="str">
        <x:v>WHITE HANGING HEART T-LIGHT HOLDER</x:v>
      </x:c>
      <x:c r="D6" s="34" t="n">
        <x:f>SUMIFS('Weekly Demand'!$E$5:$E$1044,'Weekly Demand'!$C$5:$C$1044,$B6)</x:f>
        <x:v>36025</x:v>
      </x:c>
      <x:c r="E6" s="64" t="n">
        <x:f>SUMIFS('Weekly Demand'!$F$5:$F$1044,'Weekly Demand'!$C$5:$C$1044,$B6)</x:f>
        <x:v>100112.98999999998</x:v>
      </x:c>
      <x:c r="F6" s="61" t="n">
        <x:f>E6/SUM($E$5:$E$24)</x:f>
        <x:v>0.08388468065219626</x:v>
      </x:c>
      <x:c r="G6" s="61" t="n">
        <x:f>SUM($F$5:F6)</x:f>
        <x:v>0.21952577789070804</x:v>
      </x:c>
      <x:c r="H6" s="23" t="str">
        <x:f>IF(G6&lt;=0.8,"A",IF(G6&lt;=0.95,"B","C"))</x:f>
        <x:v>A</x:v>
      </x:c>
      <x:c r="I6" s="58" t="n">
        <x:f>AVERAGE('Weekly Demand'!E57:E108)</x:f>
        <x:v>692.7884615384615</x:v>
      </x:c>
      <x:c r="J6" s="58" t="n">
        <x:f>STDEV.S('Weekly Demand'!E57:E108)</x:f>
        <x:v>565.9229954039671</x:v>
      </x:c>
      <x:c r="K6" s="58" t="n">
        <x:f>AVERAGE('Weekly Demand'!E105:E108)</x:f>
        <x:v>880.25</x:v>
      </x:c>
      <x:c r="L6" s="61" t="n">
        <x:f>IFERROR(SUMIFS('Weekly Demand'!$K$5:$K$1044,'Weekly Demand'!$C$5:$C$1044,$B6,'Weekly Demand'!$M$5:$M$1044,"Validation")/SUMIFS('Weekly Demand'!$E$5:$E$1044,'Weekly Demand'!$C$5:$C$1044,$B6,'Weekly Demand'!$M$5:$M$1044,"Validation"),"")</x:f>
        <x:v>0.47685818513451894</x:v>
      </x:c>
      <x:c r="M6" s="61" t="n">
        <x:f>IFERROR(SUMIFS('Weekly Demand'!$J$5:$J$1044,'Weekly Demand'!$C$5:$C$1044,$B6,'Weekly Demand'!$M$5:$M$1044,"Validation")/SUMIFS('Weekly Demand'!$E$5:$E$1044,'Weekly Demand'!$C$5:$C$1044,$B6,'Weekly Demand'!$M$5:$M$1044,"Validation"),"")</x:f>
        <x:v>0.745858033135735</x:v>
      </x:c>
      <x:c r="N6" s="61" t="n">
        <x:f>IFERROR(1-L6/M6,"")</x:f>
        <x:v>0.36065824332586105</x:v>
      </x:c>
      <x:c r="O6" s="23" t="n">
        <x:f>'Assumptions &amp; Source'!B7</x:f>
        <x:v>2</x:v>
      </x:c>
      <x:c r="P6" s="61" t="n">
        <x:f>'Assumptions &amp; Source'!B8</x:f>
        <x:v>0.95</x:v>
      </x:c>
      <x:c r="Q6" s="34" t="n">
        <x:f>'Assumptions &amp; Source'!B9*J6*SQRT(O6)</x:f>
        <x:v>1316.5526794657146</x:v>
      </x:c>
      <x:c r="R6" s="34" t="n">
        <x:f>ROUND(I6*O6+Q6,0)</x:f>
        <x:v>2702</x:v>
      </x:c>
      <x:c r="S6" s="34" t="n">
        <x:f>ROUND(K6*4,0)</x:f>
        <x:v>3521</x:v>
      </x:c>
    </x:row>
    <x:row r="7">
      <x:c r="A7" s="23" t="n">
        <x:v>3</x:v>
      </x:c>
      <x:c r="B7" s="23" t="str">
        <x:v>47566</x:v>
      </x:c>
      <x:c r="C7" s="23" t="str">
        <x:v>PARTY BUNTING</x:v>
      </x:c>
      <x:c r="D7" s="34" t="n">
        <x:f>SUMIFS('Weekly Demand'!$E$5:$E$1044,'Weekly Demand'!$C$5:$C$1044,$B7)</x:f>
        <x:v>18207</x:v>
      </x:c>
      <x:c r="E7" s="64" t="n">
        <x:f>SUMIFS('Weekly Demand'!$F$5:$F$1044,'Weekly Demand'!$C$5:$C$1044,$B7)</x:f>
        <x:v>98919.63000000002</x:v>
      </x:c>
      <x:c r="F7" s="61" t="n">
        <x:f>E7/SUM($E$5:$E$24)</x:f>
        <x:v>0.0828847642327276</x:v>
      </x:c>
      <x:c r="G7" s="61" t="n">
        <x:f>SUM($F$5:F7)</x:f>
        <x:v>0.30241054212343565</x:v>
      </x:c>
      <x:c r="H7" s="23" t="str">
        <x:f>IF(G7&lt;=0.8,"A",IF(G7&lt;=0.95,"B","C"))</x:f>
        <x:v>A</x:v>
      </x:c>
      <x:c r="I7" s="58" t="n">
        <x:f>AVERAGE('Weekly Demand'!E109:E160)</x:f>
        <x:v>350.13461538461536</x:v>
      </x:c>
      <x:c r="J7" s="58" t="n">
        <x:f>STDEV.S('Weekly Demand'!E109:E160)</x:f>
        <x:v>251.72331751786942</x:v>
      </x:c>
      <x:c r="K7" s="58" t="n">
        <x:f>AVERAGE('Weekly Demand'!E157:E160)</x:f>
        <x:v>228.25</x:v>
      </x:c>
      <x:c r="L7" s="61" t="n">
        <x:f>IFERROR(SUMIFS('Weekly Demand'!$K$5:$K$1044,'Weekly Demand'!$C$5:$C$1044,$B7,'Weekly Demand'!$M$5:$M$1044,"Validation")/SUMIFS('Weekly Demand'!$E$5:$E$1044,'Weekly Demand'!$C$5:$C$1044,$B7,'Weekly Demand'!$M$5:$M$1044,"Validation"),"")</x:f>
        <x:v>0.5994680851063829</x:v>
      </x:c>
      <x:c r="M7" s="61" t="n">
        <x:f>IFERROR(SUMIFS('Weekly Demand'!$J$5:$J$1044,'Weekly Demand'!$C$5:$C$1044,$B7,'Weekly Demand'!$M$5:$M$1044,"Validation")/SUMIFS('Weekly Demand'!$E$5:$E$1044,'Weekly Demand'!$C$5:$C$1044,$B7,'Weekly Demand'!$M$5:$M$1044,"Validation"),"")</x:f>
        <x:v>0.7390070921985815</x:v>
      </x:c>
      <x:c r="N7" s="61" t="n">
        <x:f>IFERROR(1-L7/M7,"")</x:f>
        <x:v>0.1888195777351248</x:v>
      </x:c>
      <x:c r="O7" s="23" t="n">
        <x:f>'Assumptions &amp; Source'!B7</x:f>
        <x:v>2</x:v>
      </x:c>
      <x:c r="P7" s="61" t="n">
        <x:f>'Assumptions &amp; Source'!B8</x:f>
        <x:v>0.95</x:v>
      </x:c>
      <x:c r="Q7" s="34" t="n">
        <x:f>'Assumptions &amp; Source'!B9*J7*SQRT(O7)</x:f>
        <x:v>585.6044211908811</x:v>
      </x:c>
      <x:c r="R7" s="34" t="n">
        <x:f>ROUND(I7*O7+Q7,0)</x:f>
        <x:v>1286</x:v>
      </x:c>
      <x:c r="S7" s="34" t="n">
        <x:f>ROUND(K7*4,0)</x:f>
        <x:v>913</x:v>
      </x:c>
    </x:row>
    <x:row r="8">
      <x:c r="A8" s="23" t="n">
        <x:v>4</x:v>
      </x:c>
      <x:c r="B8" s="23" t="str">
        <x:v>85099B</x:v>
      </x:c>
      <x:c r="C8" s="23" t="str">
        <x:v>JUMBO BAG RED RETROSPOT</x:v>
      </x:c>
      <x:c r="D8" s="34" t="n">
        <x:f>SUMIFS('Weekly Demand'!$E$5:$E$1044,'Weekly Demand'!$C$5:$C$1044,$B8)</x:f>
        <x:v>47331</x:v>
      </x:c>
      <x:c r="E8" s="64" t="n">
        <x:f>SUMIFS('Weekly Demand'!$F$5:$F$1044,'Weekly Demand'!$C$5:$C$1044,$B8)</x:f>
        <x:v>92121.24000000002</x:v>
      </x:c>
      <x:c r="F8" s="61" t="n">
        <x:f>E8/SUM($E$5:$E$24)</x:f>
        <x:v>0.07718839282179396</x:v>
      </x:c>
      <x:c r="G8" s="61" t="n">
        <x:f>SUM($F$5:F8)</x:f>
        <x:v>0.3795989349452296</x:v>
      </x:c>
      <x:c r="H8" s="23" t="str">
        <x:f>IF(G8&lt;=0.8,"A",IF(G8&lt;=0.95,"B","C"))</x:f>
        <x:v>A</x:v>
      </x:c>
      <x:c r="I8" s="58" t="n">
        <x:f>AVERAGE('Weekly Demand'!E161:E212)</x:f>
        <x:v>910.2115384615385</x:v>
      </x:c>
      <x:c r="J8" s="58" t="n">
        <x:f>STDEV.S('Weekly Demand'!E161:E212)</x:f>
        <x:v>500.0585979991553</x:v>
      </x:c>
      <x:c r="K8" s="58" t="n">
        <x:f>AVERAGE('Weekly Demand'!E209:E212)</x:f>
        <x:v>1401.25</x:v>
      </x:c>
      <x:c r="L8" s="61" t="n">
        <x:f>IFERROR(SUMIFS('Weekly Demand'!$K$5:$K$1044,'Weekly Demand'!$C$5:$C$1044,$B8,'Weekly Demand'!$M$5:$M$1044,"Validation")/SUMIFS('Weekly Demand'!$E$5:$E$1044,'Weekly Demand'!$C$5:$C$1044,$B8,'Weekly Demand'!$M$5:$M$1044,"Validation"),"")</x:f>
        <x:v>0.5163876889848812</x:v>
      </x:c>
      <x:c r="M8" s="61" t="n">
        <x:f>IFERROR(SUMIFS('Weekly Demand'!$J$5:$J$1044,'Weekly Demand'!$C$5:$C$1044,$B8,'Weekly Demand'!$M$5:$M$1044,"Validation")/SUMIFS('Weekly Demand'!$E$5:$E$1044,'Weekly Demand'!$C$5:$C$1044,$B8,'Weekly Demand'!$M$5:$M$1044,"Validation"),"")</x:f>
        <x:v>0.6100431965442764</x:v>
      </x:c>
      <x:c r="N8" s="61" t="n">
        <x:f>IFERROR(1-L8/M8,"")</x:f>
        <x:v>0.15352274738891836</x:v>
      </x:c>
      <x:c r="O8" s="23" t="n">
        <x:f>'Assumptions &amp; Source'!B7</x:f>
        <x:v>2</x:v>
      </x:c>
      <x:c r="P8" s="61" t="n">
        <x:f>'Assumptions &amp; Source'!B8</x:f>
        <x:v>0.95</x:v>
      </x:c>
      <x:c r="Q8" s="34" t="n">
        <x:f>'Assumptions &amp; Source'!B9*J8*SQRT(O8)</x:f>
        <x:v>1163.3269763419153</x:v>
      </x:c>
      <x:c r="R8" s="34" t="n">
        <x:f>ROUND(I8*O8+Q8,0)</x:f>
        <x:v>2984</x:v>
      </x:c>
      <x:c r="S8" s="34" t="n">
        <x:f>ROUND(K8*4,0)</x:f>
        <x:v>5605</x:v>
      </x:c>
    </x:row>
    <x:row r="9">
      <x:c r="A9" s="23" t="n">
        <x:v>5</x:v>
      </x:c>
      <x:c r="B9" s="23" t="str">
        <x:v>23166</x:v>
      </x:c>
      <x:c r="C9" s="23" t="str">
        <x:v>MEDIUM CERAMIC TOP STORAGE JAR</x:v>
      </x:c>
      <x:c r="D9" s="34" t="n">
        <x:f>SUMIFS('Weekly Demand'!$E$5:$E$1044,'Weekly Demand'!$C$5:$C$1044,$B9)</x:f>
        <x:v>77856</x:v>
      </x:c>
      <x:c r="E9" s="64" t="n">
        <x:f>SUMIFS('Weekly Demand'!$F$5:$F$1044,'Weekly Demand'!$C$5:$C$1044,$B9)</x:f>
        <x:v>81492.97</x:v>
      </x:c>
      <x:c r="F9" s="61" t="n">
        <x:f>E9/SUM($E$5:$E$24)</x:f>
        <x:v>0.06828296471665676</x:v>
      </x:c>
      <x:c r="G9" s="61" t="n">
        <x:f>SUM($F$5:F9)</x:f>
        <x:v>0.4478818996618864</x:v>
      </x:c>
      <x:c r="H9" s="23" t="str">
        <x:f>IF(G9&lt;=0.8,"A",IF(G9&lt;=0.95,"B","C"))</x:f>
        <x:v>A</x:v>
      </x:c>
      <x:c r="I9" s="58" t="n">
        <x:f>AVERAGE('Weekly Demand'!E213:E264)</x:f>
        <x:v>1497.2307692307693</x:v>
      </x:c>
      <x:c r="J9" s="58" t="n">
        <x:f>STDEV.S('Weekly Demand'!E213:E264)</x:f>
        <x:v>10282.348090753734</x:v>
      </x:c>
      <x:c r="K9" s="58" t="n">
        <x:f>AVERAGE('Weekly Demand'!E261:E264)</x:f>
        <x:v>165.5</x:v>
      </x:c>
      <x:c r="L9" s="61" t="n">
        <x:f>IFERROR(SUMIFS('Weekly Demand'!$K$5:$K$1044,'Weekly Demand'!$C$5:$C$1044,$B9,'Weekly Demand'!$M$5:$M$1044,"Validation")/SUMIFS('Weekly Demand'!$E$5:$E$1044,'Weekly Demand'!$C$5:$C$1044,$B9,'Weekly Demand'!$M$5:$M$1044,"Validation"),"")</x:f>
        <x:v>0.5666109253065775</x:v>
      </x:c>
      <x:c r="M9" s="61" t="n">
        <x:f>IFERROR(SUMIFS('Weekly Demand'!$J$5:$J$1044,'Weekly Demand'!$C$5:$C$1044,$B9,'Weekly Demand'!$M$5:$M$1044,"Validation")/SUMIFS('Weekly Demand'!$E$5:$E$1044,'Weekly Demand'!$C$5:$C$1044,$B9,'Weekly Demand'!$M$5:$M$1044,"Validation"),"")</x:f>
        <x:v>0.9933110367892977</x:v>
      </x:c>
      <x:c r="N9" s="61" t="n">
        <x:f>IFERROR(1-L9/M9,"")</x:f>
        <x:v>0.4295735129068462</x:v>
      </x:c>
      <x:c r="O9" s="23" t="n">
        <x:f>'Assumptions &amp; Source'!B7</x:f>
        <x:v>2</x:v>
      </x:c>
      <x:c r="P9" s="61" t="n">
        <x:f>'Assumptions &amp; Source'!B8</x:f>
        <x:v>0.95</x:v>
      </x:c>
      <x:c r="Q9" s="34" t="n">
        <x:f>'Assumptions &amp; Source'!B9*J9*SQRT(O9)</x:f>
        <x:v>23920.66242231038</x:v>
      </x:c>
      <x:c r="R9" s="34" t="n">
        <x:f>ROUND(I9*O9+Q9,0)</x:f>
        <x:v>26915</x:v>
      </x:c>
      <x:c r="S9" s="34" t="n">
        <x:f>ROUND(K9*4,0)</x:f>
        <x:v>662</x:v>
      </x:c>
    </x:row>
    <x:row r="10">
      <x:c r="A10" s="23" t="n">
        <x:v>6</x:v>
      </x:c>
      <x:c r="B10" s="23" t="str">
        <x:v>23084</x:v>
      </x:c>
      <x:c r="C10" s="23" t="str">
        <x:v>RABBIT NIGHT LIGHT</x:v>
      </x:c>
      <x:c r="D10" s="34" t="n">
        <x:f>SUMIFS('Weekly Demand'!$E$5:$E$1044,'Weekly Demand'!$C$5:$C$1044,$B10)</x:f>
        <x:v>27583</x:v>
      </x:c>
      <x:c r="E10" s="64" t="n">
        <x:f>SUMIFS('Weekly Demand'!$F$5:$F$1044,'Weekly Demand'!$C$5:$C$1044,$B10)</x:f>
        <x:v>59848.3</x:v>
      </x:c>
      <x:c r="F10" s="61" t="n">
        <x:f>E10/SUM($E$5:$E$24)</x:f>
        <x:v>0.05014689435483685</x:v>
      </x:c>
      <x:c r="G10" s="61" t="n">
        <x:f>SUM($F$5:F10)</x:f>
        <x:v>0.4980287940167233</x:v>
      </x:c>
      <x:c r="H10" s="23" t="str">
        <x:f>IF(G10&lt;=0.8,"A",IF(G10&lt;=0.95,"B","C"))</x:f>
        <x:v>A</x:v>
      </x:c>
      <x:c r="I10" s="58" t="n">
        <x:f>AVERAGE('Weekly Demand'!E265:E316)</x:f>
        <x:v>530.4423076923077</x:v>
      </x:c>
      <x:c r="J10" s="58" t="n">
        <x:f>STDEV.S('Weekly Demand'!E265:E316)</x:f>
        <x:v>1236.0177581924618</x:v>
      </x:c>
      <x:c r="K10" s="58" t="n">
        <x:f>AVERAGE('Weekly Demand'!E313:E316)</x:f>
        <x:v>3432</x:v>
      </x:c>
      <x:c r="L10" s="61" t="n">
        <x:f>IFERROR(SUMIFS('Weekly Demand'!$K$5:$K$1044,'Weekly Demand'!$C$5:$C$1044,$B10,'Weekly Demand'!$M$5:$M$1044,"Validation")/SUMIFS('Weekly Demand'!$E$5:$E$1044,'Weekly Demand'!$C$5:$C$1044,$B10,'Weekly Demand'!$M$5:$M$1044,"Validation"),"")</x:f>
        <x:v>0.5420263516583371</x:v>
      </x:c>
      <x:c r="M10" s="61" t="n">
        <x:f>IFERROR(SUMIFS('Weekly Demand'!$J$5:$J$1044,'Weekly Demand'!$C$5:$C$1044,$B10,'Weekly Demand'!$M$5:$M$1044,"Validation")/SUMIFS('Weekly Demand'!$E$5:$E$1044,'Weekly Demand'!$C$5:$C$1044,$B10,'Weekly Demand'!$M$5:$M$1044,"Validation"),"")</x:f>
        <x:v>0.6630168105406633</x:v>
      </x:c>
      <x:c r="N10" s="61" t="n">
        <x:f>IFERROR(1-L10/M10,"")</x:f>
        <x:v>0.18248475296374966</x:v>
      </x:c>
      <x:c r="O10" s="23" t="n">
        <x:f>'Assumptions &amp; Source'!B7</x:f>
        <x:v>2</x:v>
      </x:c>
      <x:c r="P10" s="61" t="n">
        <x:f>'Assumptions &amp; Source'!B8</x:f>
        <x:v>0.95</x:v>
      </x:c>
      <x:c r="Q10" s="34" t="n">
        <x:f>'Assumptions &amp; Source'!B9*J10*SQRT(O10)</x:f>
        <x:v>2875.448611615269</x:v>
      </x:c>
      <x:c r="R10" s="34" t="n">
        <x:f>ROUND(I10*O10+Q10,0)</x:f>
        <x:v>3936</x:v>
      </x:c>
      <x:c r="S10" s="34" t="n">
        <x:f>ROUND(K10*4,0)</x:f>
        <x:v>13728</x:v>
      </x:c>
    </x:row>
    <x:row r="11">
      <x:c r="A11" s="23" t="n">
        <x:v>7</x:v>
      </x:c>
      <x:c r="B11" s="23" t="str">
        <x:v>22086</x:v>
      </x:c>
      <x:c r="C11" s="23" t="str">
        <x:v>PAPER CHAIN KIT 50'S CHRISTMAS</x:v>
      </x:c>
      <x:c r="D11" s="34" t="n">
        <x:f>SUMIFS('Weekly Demand'!$E$5:$E$1044,'Weekly Demand'!$C$5:$C$1044,$B11)</x:f>
        <x:v>17180</x:v>
      </x:c>
      <x:c r="E11" s="64" t="n">
        <x:f>SUMIFS('Weekly Demand'!$F$5:$F$1044,'Weekly Demand'!$C$5:$C$1044,$B11)</x:f>
        <x:v>57358.759999999995</x:v>
      </x:c>
      <x:c r="F11" s="61" t="n">
        <x:f>E11/SUM($E$5:$E$24)</x:f>
        <x:v>0.04806090863139707</x:v>
      </x:c>
      <x:c r="G11" s="61" t="n">
        <x:f>SUM($F$5:F11)</x:f>
        <x:v>0.5460897026481204</x:v>
      </x:c>
      <x:c r="H11" s="23" t="str">
        <x:f>IF(G11&lt;=0.8,"A",IF(G11&lt;=0.95,"B","C"))</x:f>
        <x:v>A</x:v>
      </x:c>
      <x:c r="I11" s="58" t="n">
        <x:f>AVERAGE('Weekly Demand'!E317:E368)</x:f>
        <x:v>330.38461538461536</x:v>
      </x:c>
      <x:c r="J11" s="58" t="n">
        <x:f>STDEV.S('Weekly Demand'!E317:E368)</x:f>
        <x:v>544.366591944564</x:v>
      </x:c>
      <x:c r="K11" s="58" t="n">
        <x:f>AVERAGE('Weekly Demand'!E365:E368)</x:f>
        <x:v>1713.25</x:v>
      </x:c>
      <x:c r="L11" s="61" t="n">
        <x:f>IFERROR(SUMIFS('Weekly Demand'!$K$5:$K$1044,'Weekly Demand'!$C$5:$C$1044,$B11,'Weekly Demand'!$M$5:$M$1044,"Validation")/SUMIFS('Weekly Demand'!$E$5:$E$1044,'Weekly Demand'!$C$5:$C$1044,$B11,'Weekly Demand'!$M$5:$M$1044,"Validation"),"")</x:f>
        <x:v>0.27100667459083844</x:v>
      </x:c>
      <x:c r="M11" s="61" t="n">
        <x:f>IFERROR(SUMIFS('Weekly Demand'!$J$5:$J$1044,'Weekly Demand'!$C$5:$C$1044,$B11,'Weekly Demand'!$M$5:$M$1044,"Validation")/SUMIFS('Weekly Demand'!$E$5:$E$1044,'Weekly Demand'!$C$5:$C$1044,$B11,'Weekly Demand'!$M$5:$M$1044,"Validation"),"")</x:f>
        <x:v>0.2597604461918259</x:v>
      </x:c>
      <x:c r="N11" s="61" t="n">
        <x:f>IFERROR(1-L11/M11,"")</x:f>
        <x:v>-0.043294614572333634</x:v>
      </x:c>
      <x:c r="O11" s="23" t="n">
        <x:f>'Assumptions &amp; Source'!B7</x:f>
        <x:v>2</x:v>
      </x:c>
      <x:c r="P11" s="61" t="n">
        <x:f>'Assumptions &amp; Source'!B8</x:f>
        <x:v>0.95</x:v>
      </x:c>
      <x:c r="Q11" s="34" t="n">
        <x:f>'Assumptions &amp; Source'!B9*J11*SQRT(O11)</x:f>
        <x:v>1266.4042653447036</x:v>
      </x:c>
      <x:c r="R11" s="34" t="n">
        <x:f>ROUND(I11*O11+Q11,0)</x:f>
        <x:v>1927</x:v>
      </x:c>
      <x:c r="S11" s="34" t="n">
        <x:f>ROUND(K11*4,0)</x:f>
        <x:v>6853</x:v>
      </x:c>
    </x:row>
    <x:row r="12">
      <x:c r="A12" s="23" t="n">
        <x:v>8</x:v>
      </x:c>
      <x:c r="B12" s="23" t="str">
        <x:v>84879</x:v>
      </x:c>
      <x:c r="C12" s="23" t="str">
        <x:v>ASSORTED COLOUR BIRD ORNAMENT</x:v>
      </x:c>
      <x:c r="D12" s="34" t="n">
        <x:f>SUMIFS('Weekly Demand'!$E$5:$E$1044,'Weekly Demand'!$C$5:$C$1044,$B12)</x:f>
        <x:v>34885</x:v>
      </x:c>
      <x:c r="E12" s="64" t="n">
        <x:f>SUMIFS('Weekly Demand'!$F$5:$F$1044,'Weekly Demand'!$C$5:$C$1044,$B12)</x:f>
        <x:v>56492.45000000001</x:v>
      </x:c>
      <x:c r="F12" s="61" t="n">
        <x:f>E12/SUM($E$5:$E$24)</x:f>
        <x:v>0.047335027427611205</x:v>
      </x:c>
      <x:c r="G12" s="61" t="n">
        <x:f>SUM($F$5:F12)</x:f>
        <x:v>0.5934247300757316</x:v>
      </x:c>
      <x:c r="H12" s="23" t="str">
        <x:f>IF(G12&lt;=0.8,"A",IF(G12&lt;=0.95,"B","C"))</x:f>
        <x:v>A</x:v>
      </x:c>
      <x:c r="I12" s="58" t="n">
        <x:f>AVERAGE('Weekly Demand'!E369:E420)</x:f>
        <x:v>670.8653846153846</x:v>
      </x:c>
      <x:c r="J12" s="58" t="n">
        <x:f>STDEV.S('Weekly Demand'!E369:E420)</x:f>
        <x:v>560.6518625092966</x:v>
      </x:c>
      <x:c r="K12" s="58" t="n">
        <x:f>AVERAGE('Weekly Demand'!E417:E420)</x:f>
        <x:v>1266</x:v>
      </x:c>
      <x:c r="L12" s="61" t="n">
        <x:f>IFERROR(SUMIFS('Weekly Demand'!$K$5:$K$1044,'Weekly Demand'!$C$5:$C$1044,$B12,'Weekly Demand'!$M$5:$M$1044,"Validation")/SUMIFS('Weekly Demand'!$E$5:$E$1044,'Weekly Demand'!$C$5:$C$1044,$B12,'Weekly Demand'!$M$5:$M$1044,"Validation"),"")</x:f>
        <x:v>0.3341605658270257</x:v>
      </x:c>
      <x:c r="M12" s="61" t="n">
        <x:f>IFERROR(SUMIFS('Weekly Demand'!$J$5:$J$1044,'Weekly Demand'!$C$5:$C$1044,$B12,'Weekly Demand'!$M$5:$M$1044,"Validation")/SUMIFS('Weekly Demand'!$E$5:$E$1044,'Weekly Demand'!$C$5:$C$1044,$B12,'Weekly Demand'!$M$5:$M$1044,"Validation"),"")</x:f>
        <x:v>0.2970591884849237</x:v>
      </x:c>
      <x:c r="N12" s="61" t="n">
        <x:f>IFERROR(1-L12/M12,"")</x:f>
        <x:v>-0.12489557226399328</x:v>
      </x:c>
      <x:c r="O12" s="23" t="n">
        <x:f>'Assumptions &amp; Source'!B7</x:f>
        <x:v>2</x:v>
      </x:c>
      <x:c r="P12" s="61" t="n">
        <x:f>'Assumptions &amp; Source'!B8</x:f>
        <x:v>0.95</x:v>
      </x:c>
      <x:c r="Q12" s="34" t="n">
        <x:f>'Assumptions &amp; Source'!B9*J12*SQRT(O12)</x:f>
        <x:v>1304.2900144164803</x:v>
      </x:c>
      <x:c r="R12" s="34" t="n">
        <x:f>ROUND(I12*O12+Q12,0)</x:f>
        <x:v>2646</x:v>
      </x:c>
      <x:c r="S12" s="34" t="n">
        <x:f>ROUND(K12*4,0)</x:f>
        <x:v>5064</x:v>
      </x:c>
    </x:row>
    <x:row r="13">
      <x:c r="A13" s="23" t="n">
        <x:v>9</x:v>
      </x:c>
      <x:c r="B13" s="23" t="str">
        <x:v>22502</x:v>
      </x:c>
      <x:c r="C13" s="23" t="str">
        <x:v>PICNIC BASKET WICKER 60 PIECES</x:v>
      </x:c>
      <x:c r="D13" s="34" t="n">
        <x:f>SUMIFS('Weekly Demand'!$E$5:$E$1044,'Weekly Demand'!$C$5:$C$1044,$B13)</x:f>
        <x:v>1873</x:v>
      </x:c>
      <x:c r="E13" s="64" t="n">
        <x:f>SUMIFS('Weekly Demand'!$F$5:$F$1044,'Weekly Demand'!$C$5:$C$1044,$B13)</x:f>
        <x:v>51042.33</x:v>
      </x:c>
      <x:c r="F13" s="61" t="n">
        <x:f>E13/SUM($E$5:$E$24)</x:f>
        <x:v>0.042768371534942846</x:v>
      </x:c>
      <x:c r="G13" s="61" t="n">
        <x:f>SUM($F$5:F13)</x:f>
        <x:v>0.6361931016106744</x:v>
      </x:c>
      <x:c r="H13" s="23" t="str">
        <x:f>IF(G13&lt;=0.8,"A",IF(G13&lt;=0.95,"B","C"))</x:f>
        <x:v>A</x:v>
      </x:c>
      <x:c r="I13" s="58" t="n">
        <x:f>AVERAGE('Weekly Demand'!E421:E472)</x:f>
        <x:v>36.01923076923077</x:v>
      </x:c>
      <x:c r="J13" s="58" t="n">
        <x:f>STDEV.S('Weekly Demand'!E421:E472)</x:f>
        <x:v>49.69021302012013</x:v>
      </x:c>
      <x:c r="K13" s="58" t="n">
        <x:f>AVERAGE('Weekly Demand'!E469:E472)</x:f>
        <x:v>0</x:v>
      </x:c>
      <x:c r="L13" s="61" t="str">
        <x:f>IFERROR(SUMIFS('Weekly Demand'!$K$5:$K$1044,'Weekly Demand'!$C$5:$C$1044,$B13,'Weekly Demand'!$M$5:$M$1044,"Validation")/SUMIFS('Weekly Demand'!$E$5:$E$1044,'Weekly Demand'!$C$5:$C$1044,$B13,'Weekly Demand'!$M$5:$M$1044,"Validation"),"")</x:f>
      </x:c>
      <x:c r="M13" s="61" t="str">
        <x:f>IFERROR(SUMIFS('Weekly Demand'!$J$5:$J$1044,'Weekly Demand'!$C$5:$C$1044,$B13,'Weekly Demand'!$M$5:$M$1044,"Validation")/SUMIFS('Weekly Demand'!$E$5:$E$1044,'Weekly Demand'!$C$5:$C$1044,$B13,'Weekly Demand'!$M$5:$M$1044,"Validation"),"")</x:f>
      </x:c>
      <x:c r="N13" s="61" t="str">
        <x:f>IFERROR(1-L13/M13,"")</x:f>
      </x:c>
      <x:c r="O13" s="23" t="n">
        <x:f>'Assumptions &amp; Source'!B7</x:f>
        <x:v>2</x:v>
      </x:c>
      <x:c r="P13" s="61" t="n">
        <x:f>'Assumptions &amp; Source'!B8</x:f>
        <x:v>0.95</x:v>
      </x:c>
      <x:c r="Q13" s="34" t="n">
        <x:f>'Assumptions &amp; Source'!B9*J13*SQRT(O13)</x:f>
        <x:v>115.59838286508108</x:v>
      </x:c>
      <x:c r="R13" s="34" t="n">
        <x:f>ROUND(I13*O13+Q13,0)</x:f>
        <x:v>188</x:v>
      </x:c>
      <x:c r="S13" s="34" t="n">
        <x:f>ROUND(K13*4,0)</x:f>
        <x:v>0</x:v>
      </x:c>
    </x:row>
    <x:row r="14">
      <x:c r="A14" s="23" t="n">
        <x:v>10</x:v>
      </x:c>
      <x:c r="B14" s="23" t="str">
        <x:v>79321</x:v>
      </x:c>
      <x:c r="C14" s="23" t="str">
        <x:v>CHILLI LIGHTS</x:v>
      </x:c>
      <x:c r="D14" s="34" t="n">
        <x:f>SUMIFS('Weekly Demand'!$E$5:$E$1044,'Weekly Demand'!$C$5:$C$1044,$B14)</x:f>
        <x:v>9425</x:v>
      </x:c>
      <x:c r="E14" s="64" t="n">
        <x:f>SUMIFS('Weekly Demand'!$F$5:$F$1044,'Weekly Demand'!$C$5:$C$1044,$B14)</x:f>
        <x:v>49643.82000000001</x:v>
      </x:c>
      <x:c r="F14" s="61" t="n">
        <x:f>E14/SUM($E$5:$E$24)</x:f>
        <x:v>0.041596559917500366</x:v>
      </x:c>
      <x:c r="G14" s="61" t="n">
        <x:f>SUM($F$5:F14)</x:f>
        <x:v>0.6777896615281748</x:v>
      </x:c>
      <x:c r="H14" s="23" t="str">
        <x:f>IF(G14&lt;=0.8,"A",IF(G14&lt;=0.95,"B","C"))</x:f>
        <x:v>A</x:v>
      </x:c>
      <x:c r="I14" s="58" t="n">
        <x:f>AVERAGE('Weekly Demand'!E473:E524)</x:f>
        <x:v>181.25</x:v>
      </x:c>
      <x:c r="J14" s="58" t="n">
        <x:f>STDEV.S('Weekly Demand'!E473:E524)</x:f>
        <x:v>212.79124217198893</x:v>
      </x:c>
      <x:c r="K14" s="58" t="n">
        <x:f>AVERAGE('Weekly Demand'!E521:E524)</x:f>
        <x:v>536</x:v>
      </x:c>
      <x:c r="L14" s="61" t="n">
        <x:f>IFERROR(SUMIFS('Weekly Demand'!$K$5:$K$1044,'Weekly Demand'!$C$5:$C$1044,$B14,'Weekly Demand'!$M$5:$M$1044,"Validation")/SUMIFS('Weekly Demand'!$E$5:$E$1044,'Weekly Demand'!$C$5:$C$1044,$B14,'Weekly Demand'!$M$5:$M$1044,"Validation"),"")</x:f>
        <x:v>0.5015833333333334</x:v>
      </x:c>
      <x:c r="M14" s="61" t="n">
        <x:f>IFERROR(SUMIFS('Weekly Demand'!$J$5:$J$1044,'Weekly Demand'!$C$5:$C$1044,$B14,'Weekly Demand'!$M$5:$M$1044,"Validation")/SUMIFS('Weekly Demand'!$E$5:$E$1044,'Weekly Demand'!$C$5:$C$1044,$B14,'Weekly Demand'!$M$5:$M$1044,"Validation"),"")</x:f>
        <x:v>0.7836666666666666</x:v>
      </x:c>
      <x:c r="N14" s="61" t="n">
        <x:f>IFERROR(1-L14/M14,"")</x:f>
        <x:v>0.3599532113994044</x:v>
      </x:c>
      <x:c r="O14" s="23" t="n">
        <x:f>'Assumptions &amp; Source'!B7</x:f>
        <x:v>2</x:v>
      </x:c>
      <x:c r="P14" s="61" t="n">
        <x:f>'Assumptions &amp; Source'!B8</x:f>
        <x:v>0.95</x:v>
      </x:c>
      <x:c r="Q14" s="34" t="n">
        <x:f>'Assumptions &amp; Source'!B9*J14*SQRT(O14)</x:f>
        <x:v>495.03356874267416</x:v>
      </x:c>
      <x:c r="R14" s="34" t="n">
        <x:f>ROUND(I14*O14+Q14,0)</x:f>
        <x:v>858</x:v>
      </x:c>
      <x:c r="S14" s="34" t="n">
        <x:f>ROUND(K14*4,0)</x:f>
        <x:v>2144</x:v>
      </x:c>
    </x:row>
    <x:row r="15">
      <x:c r="A15" s="23" t="n">
        <x:v>11</x:v>
      </x:c>
      <x:c r="B15" s="23" t="str">
        <x:v>22197</x:v>
      </x:c>
      <x:c r="C15" s="23" t="str">
        <x:v>POPCORN HOLDER</x:v>
      </x:c>
      <x:c r="D15" s="34" t="n">
        <x:f>SUMIFS('Weekly Demand'!$E$5:$E$1044,'Weekly Demand'!$C$5:$C$1044,$B15)</x:f>
        <x:v>51972</x:v>
      </x:c>
      <x:c r="E15" s="64" t="n">
        <x:f>SUMIFS('Weekly Demand'!$F$5:$F$1044,'Weekly Demand'!$C$5:$C$1044,$B15)</x:f>
        <x:v>46994.35</x:v>
      </x:c>
      <x:c r="F15" s="61" t="n">
        <x:f>E15/SUM($E$5:$E$24)</x:f>
        <x:v>0.039376568836946534</x:v>
      </x:c>
      <x:c r="G15" s="61" t="n">
        <x:f>SUM($F$5:F15)</x:f>
        <x:v>0.7171662303651213</x:v>
      </x:c>
      <x:c r="H15" s="23" t="str">
        <x:f>IF(G15&lt;=0.8,"A",IF(G15&lt;=0.95,"B","C"))</x:f>
        <x:v>A</x:v>
      </x:c>
      <x:c r="I15" s="58" t="n">
        <x:f>AVERAGE('Weekly Demand'!E525:E576)</x:f>
        <x:v>999.4615384615385</x:v>
      </x:c>
      <x:c r="J15" s="58" t="n">
        <x:f>STDEV.S('Weekly Demand'!E525:E576)</x:f>
        <x:v>1008.7224586038045</x:v>
      </x:c>
      <x:c r="K15" s="58" t="n">
        <x:f>AVERAGE('Weekly Demand'!E573:E576)</x:f>
        <x:v>3318.75</x:v>
      </x:c>
      <x:c r="L15" s="61" t="n">
        <x:f>IFERROR(SUMIFS('Weekly Demand'!$K$5:$K$1044,'Weekly Demand'!$C$5:$C$1044,$B15,'Weekly Demand'!$M$5:$M$1044,"Validation")/SUMIFS('Weekly Demand'!$E$5:$E$1044,'Weekly Demand'!$C$5:$C$1044,$B15,'Weekly Demand'!$M$5:$M$1044,"Validation"),"")</x:f>
        <x:v>0.3165056611613171</x:v>
      </x:c>
      <x:c r="M15" s="61" t="n">
        <x:f>IFERROR(SUMIFS('Weekly Demand'!$J$5:$J$1044,'Weekly Demand'!$C$5:$C$1044,$B15,'Weekly Demand'!$M$5:$M$1044,"Validation")/SUMIFS('Weekly Demand'!$E$5:$E$1044,'Weekly Demand'!$C$5:$C$1044,$B15,'Weekly Demand'!$M$5:$M$1044,"Validation"),"")</x:f>
        <x:v>0.39306118209203283</x:v>
      </x:c>
      <x:c r="N15" s="61" t="n">
        <x:f>IFERROR(1-L15/M15,"")</x:f>
        <x:v>0.19476744186046513</x:v>
      </x:c>
      <x:c r="O15" s="23" t="n">
        <x:f>'Assumptions &amp; Source'!B7</x:f>
        <x:v>2</x:v>
      </x:c>
      <x:c r="P15" s="61" t="n">
        <x:f>'Assumptions &amp; Source'!B8</x:f>
        <x:v>0.95</x:v>
      </x:c>
      <x:c r="Q15" s="34" t="n">
        <x:f>'Assumptions &amp; Source'!B9*J15*SQRT(O15)</x:f>
        <x:v>2346.6730747777856</x:v>
      </x:c>
      <x:c r="R15" s="34" t="n">
        <x:f>ROUND(I15*O15+Q15,0)</x:f>
        <x:v>4346</x:v>
      </x:c>
      <x:c r="S15" s="34" t="n">
        <x:f>ROUND(K15*4,0)</x:f>
        <x:v>13275</x:v>
      </x:c>
    </x:row>
    <x:row r="16">
      <x:c r="A16" s="23" t="n">
        <x:v>12</x:v>
      </x:c>
      <x:c r="B16" s="23" t="str">
        <x:v>23298</x:v>
      </x:c>
      <x:c r="C16" s="23" t="str">
        <x:v>SPOTTY BUNTING</x:v>
      </x:c>
      <x:c r="D16" s="34" t="n">
        <x:f>SUMIFS('Weekly Demand'!$E$5:$E$1044,'Weekly Demand'!$C$5:$C$1044,$B16)</x:f>
        <x:v>8377</x:v>
      </x:c>
      <x:c r="E16" s="64" t="n">
        <x:f>SUMIFS('Weekly Demand'!$F$5:$F$1044,'Weekly Demand'!$C$5:$C$1044,$B16)</x:f>
        <x:v>42637.55</x:v>
      </x:c>
      <x:c r="F16" s="61" t="n">
        <x:f>E16/SUM($E$5:$E$24)</x:f>
        <x:v>0.03572600584142029</x:v>
      </x:c>
      <x:c r="G16" s="61" t="n">
        <x:f>SUM($F$5:F16)</x:f>
        <x:v>0.7528922362065416</x:v>
      </x:c>
      <x:c r="H16" s="23" t="str">
        <x:f>IF(G16&lt;=0.8,"A",IF(G16&lt;=0.95,"B","C"))</x:f>
        <x:v>A</x:v>
      </x:c>
      <x:c r="I16" s="58" t="n">
        <x:f>AVERAGE('Weekly Demand'!E577:E628)</x:f>
        <x:v>161.09615384615384</x:v>
      </x:c>
      <x:c r="J16" s="58" t="n">
        <x:f>STDEV.S('Weekly Demand'!E577:E628)</x:f>
        <x:v>178.22691634656996</x:v>
      </x:c>
      <x:c r="K16" s="58" t="n">
        <x:f>AVERAGE('Weekly Demand'!E625:E628)</x:f>
        <x:v>208.75</x:v>
      </x:c>
      <x:c r="L16" s="61" t="n">
        <x:f>IFERROR(SUMIFS('Weekly Demand'!$K$5:$K$1044,'Weekly Demand'!$C$5:$C$1044,$B16,'Weekly Demand'!$M$5:$M$1044,"Validation")/SUMIFS('Weekly Demand'!$E$5:$E$1044,'Weekly Demand'!$C$5:$C$1044,$B16,'Weekly Demand'!$M$5:$M$1044,"Validation"),"")</x:f>
        <x:v>0.6370528771384136</x:v>
      </x:c>
      <x:c r="M16" s="61" t="n">
        <x:f>IFERROR(SUMIFS('Weekly Demand'!$J$5:$J$1044,'Weekly Demand'!$C$5:$C$1044,$B16,'Weekly Demand'!$M$5:$M$1044,"Validation")/SUMIFS('Weekly Demand'!$E$5:$E$1044,'Weekly Demand'!$C$5:$C$1044,$B16,'Weekly Demand'!$M$5:$M$1044,"Validation"),"")</x:f>
        <x:v>0.6213063763608087</x:v>
      </x:c>
      <x:c r="N16" s="61" t="n">
        <x:f>IFERROR(1-L16/M16,"")</x:f>
        <x:v>-0.02534418022528162</x:v>
      </x:c>
      <x:c r="O16" s="23" t="n">
        <x:f>'Assumptions &amp; Source'!B7</x:f>
        <x:v>2</x:v>
      </x:c>
      <x:c r="P16" s="61" t="n">
        <x:f>'Assumptions &amp; Source'!B8</x:f>
        <x:v>0.95</x:v>
      </x:c>
      <x:c r="Q16" s="34" t="n">
        <x:f>'Assumptions &amp; Source'!B9*J16*SQRT(O16)</x:f>
        <x:v>414.6237671460834</x:v>
      </x:c>
      <x:c r="R16" s="34" t="n">
        <x:f>ROUND(I16*O16+Q16,0)</x:f>
        <x:v>737</x:v>
      </x:c>
      <x:c r="S16" s="34" t="n">
        <x:f>ROUND(K16*4,0)</x:f>
        <x:v>835</x:v>
      </x:c>
    </x:row>
    <x:row r="17">
      <x:c r="A17" s="23" t="n">
        <x:v>13</x:v>
      </x:c>
      <x:c r="B17" s="23" t="str">
        <x:v>22386</x:v>
      </x:c>
      <x:c r="C17" s="23" t="str">
        <x:v>JUMBO BAG PINK POLKADOT</x:v>
      </x:c>
      <x:c r="D17" s="34" t="n">
        <x:f>SUMIFS('Weekly Demand'!$E$5:$E$1044,'Weekly Demand'!$C$5:$C$1044,$B17)</x:f>
        <x:v>21255</x:v>
      </x:c>
      <x:c r="E17" s="64" t="n">
        <x:f>SUMIFS('Weekly Demand'!$F$5:$F$1044,'Weekly Demand'!$C$5:$C$1044,$B17)</x:f>
        <x:v>41940.82000000001</x:v>
      </x:c>
      <x:c r="F17" s="61" t="n">
        <x:f>E17/SUM($E$5:$E$24)</x:f>
        <x:v>0.035142215730358736</x:v>
      </x:c>
      <x:c r="G17" s="61" t="n">
        <x:f>SUM($F$5:F17)</x:f>
        <x:v>0.7880344519369002</x:v>
      </x:c>
      <x:c r="H17" s="23" t="str">
        <x:f>IF(G17&lt;=0.8,"A",IF(G17&lt;=0.95,"B","C"))</x:f>
        <x:v>A</x:v>
      </x:c>
      <x:c r="I17" s="58" t="n">
        <x:f>AVERAGE('Weekly Demand'!E629:E680)</x:f>
        <x:v>408.75</x:v>
      </x:c>
      <x:c r="J17" s="58" t="n">
        <x:f>STDEV.S('Weekly Demand'!E629:E680)</x:f>
        <x:v>280.005103244811</x:v>
      </x:c>
      <x:c r="K17" s="58" t="n">
        <x:f>AVERAGE('Weekly Demand'!E677:E680)</x:f>
        <x:v>431.75</x:v>
      </x:c>
      <x:c r="L17" s="61" t="n">
        <x:f>IFERROR(SUMIFS('Weekly Demand'!$K$5:$K$1044,'Weekly Demand'!$C$5:$C$1044,$B17,'Weekly Demand'!$M$5:$M$1044,"Validation")/SUMIFS('Weekly Demand'!$E$5:$E$1044,'Weekly Demand'!$C$5:$C$1044,$B17,'Weekly Demand'!$M$5:$M$1044,"Validation"),"")</x:f>
        <x:v>0.5445976364659538</x:v>
      </x:c>
      <x:c r="M17" s="61" t="n">
        <x:f>IFERROR(SUMIFS('Weekly Demand'!$J$5:$J$1044,'Weekly Demand'!$C$5:$C$1044,$B17,'Weekly Demand'!$M$5:$M$1044,"Validation")/SUMIFS('Weekly Demand'!$E$5:$E$1044,'Weekly Demand'!$C$5:$C$1044,$B17,'Weekly Demand'!$M$5:$M$1044,"Validation"),"")</x:f>
        <x:v>0.7920652785593697</x:v>
      </x:c>
      <x:c r="N17" s="61" t="n">
        <x:f>IFERROR(1-L17/M17,"")</x:f>
        <x:v>0.3124333925399645</x:v>
      </x:c>
      <x:c r="O17" s="23" t="n">
        <x:f>'Assumptions &amp; Source'!B7</x:f>
        <x:v>2</x:v>
      </x:c>
      <x:c r="P17" s="61" t="n">
        <x:f>'Assumptions &amp; Source'!B8</x:f>
        <x:v>0.95</x:v>
      </x:c>
      <x:c r="Q17" s="34" t="n">
        <x:f>'Assumptions &amp; Source'!B9*J17*SQRT(O17)</x:f>
        <x:v>651.3986389223968</x:v>
      </x:c>
      <x:c r="R17" s="34" t="n">
        <x:f>ROUND(I17*O17+Q17,0)</x:f>
        <x:v>1469</x:v>
      </x:c>
      <x:c r="S17" s="34" t="n">
        <x:f>ROUND(K17*4,0)</x:f>
        <x:v>1727</x:v>
      </x:c>
    </x:row>
    <x:row r="18">
      <x:c r="A18" s="23" t="n">
        <x:v>14</x:v>
      </x:c>
      <x:c r="B18" s="23" t="str">
        <x:v>23203</x:v>
      </x:c>
      <x:c r="C18" s="23" t="str">
        <x:v>JUMBO BAG VINTAGE DOILY</x:v>
      </x:c>
      <x:c r="D18" s="34" t="n">
        <x:f>SUMIFS('Weekly Demand'!$E$5:$E$1044,'Weekly Demand'!$C$5:$C$1044,$B18)</x:f>
        <x:v>19972</x:v>
      </x:c>
      <x:c r="E18" s="64" t="n">
        <x:f>SUMIFS('Weekly Demand'!$F$5:$F$1044,'Weekly Demand'!$C$5:$C$1044,$B18)</x:f>
        <x:v>41015.450000000004</x:v>
      </x:c>
      <x:c r="F18" s="61" t="n">
        <x:f>E18/SUM($E$5:$E$24)</x:f>
        <x:v>0.03436684814883787</x:v>
      </x:c>
      <x:c r="G18" s="61" t="n">
        <x:f>SUM($F$5:F18)</x:f>
        <x:v>0.8224013000857381</x:v>
      </x:c>
      <x:c r="H18" s="23" t="str">
        <x:f>IF(G18&lt;=0.8,"A",IF(G18&lt;=0.95,"B","C"))</x:f>
        <x:v>B</x:v>
      </x:c>
      <x:c r="I18" s="58" t="n">
        <x:f>AVERAGE('Weekly Demand'!E681:E732)</x:f>
        <x:v>384.0769230769231</x:v>
      </x:c>
      <x:c r="J18" s="58" t="n">
        <x:f>STDEV.S('Weekly Demand'!E681:E732)</x:f>
        <x:v>423.3376646136545</x:v>
      </x:c>
      <x:c r="K18" s="58" t="n">
        <x:f>AVERAGE('Weekly Demand'!E729:E732)</x:f>
        <x:v>925.5</x:v>
      </x:c>
      <x:c r="L18" s="61" t="n">
        <x:f>IFERROR(SUMIFS('Weekly Demand'!$K$5:$K$1044,'Weekly Demand'!$C$5:$C$1044,$B18,'Weekly Demand'!$M$5:$M$1044,"Validation")/SUMIFS('Weekly Demand'!$E$5:$E$1044,'Weekly Demand'!$C$5:$C$1044,$B18,'Weekly Demand'!$M$5:$M$1044,"Validation"),"")</x:f>
        <x:v>0.674434766493699</x:v>
      </x:c>
      <x:c r="M18" s="61" t="n">
        <x:f>IFERROR(SUMIFS('Weekly Demand'!$J$5:$J$1044,'Weekly Demand'!$C$5:$C$1044,$B18,'Weekly Demand'!$M$5:$M$1044,"Validation")/SUMIFS('Weekly Demand'!$E$5:$E$1044,'Weekly Demand'!$C$5:$C$1044,$B18,'Weekly Demand'!$M$5:$M$1044,"Validation"),"")</x:f>
        <x:v>0.7073758339510748</x:v>
      </x:c>
      <x:c r="N18" s="61" t="n">
        <x:f>IFERROR(1-L18/M18,"")</x:f>
        <x:v>0.04656798532879214</x:v>
      </x:c>
      <x:c r="O18" s="23" t="n">
        <x:f>'Assumptions &amp; Source'!B7</x:f>
        <x:v>2</x:v>
      </x:c>
      <x:c r="P18" s="61" t="n">
        <x:f>'Assumptions &amp; Source'!B8</x:f>
        <x:v>0.95</x:v>
      </x:c>
      <x:c r="Q18" s="34" t="n">
        <x:f>'Assumptions &amp; Source'!B9*J18*SQRT(O18)</x:f>
        <x:v>984.8448308201719</x:v>
      </x:c>
      <x:c r="R18" s="34" t="n">
        <x:f>ROUND(I18*O18+Q18,0)</x:f>
        <x:v>1753</x:v>
      </x:c>
      <x:c r="S18" s="34" t="n">
        <x:f>ROUND(K18*4,0)</x:f>
        <x:v>3702</x:v>
      </x:c>
    </x:row>
    <x:row r="19">
      <x:c r="A19" s="23" t="n">
        <x:v>15</x:v>
      </x:c>
      <x:c r="B19" s="23" t="str">
        <x:v>22720</x:v>
      </x:c>
      <x:c r="C19" s="23" t="str">
        <x:v>SET OF 3 CAKE TINS PANTRY DESIGN</x:v>
      </x:c>
      <x:c r="D19" s="34" t="n">
        <x:f>SUMIFS('Weekly Demand'!$E$5:$E$1044,'Weekly Demand'!$C$5:$C$1044,$B19)</x:f>
        <x:v>7362</x:v>
      </x:c>
      <x:c r="E19" s="64" t="n">
        <x:f>SUMIFS('Weekly Demand'!$F$5:$F$1044,'Weekly Demand'!$C$5:$C$1044,$B19)</x:f>
        <x:v>37281.700000000004</x:v>
      </x:c>
      <x:c r="F19" s="61" t="n">
        <x:f>E19/SUM($E$5:$E$24)</x:f>
        <x:v>0.031238338787713624</x:v>
      </x:c>
      <x:c r="G19" s="61" t="n">
        <x:f>SUM($F$5:F19)</x:f>
        <x:v>0.8536396388734517</x:v>
      </x:c>
      <x:c r="H19" s="23" t="str">
        <x:f>IF(G19&lt;=0.8,"A",IF(G19&lt;=0.95,"B","C"))</x:f>
        <x:v>B</x:v>
      </x:c>
      <x:c r="I19" s="58" t="n">
        <x:f>AVERAGE('Weekly Demand'!E733:E784)</x:f>
        <x:v>141.57692307692307</x:v>
      </x:c>
      <x:c r="J19" s="58" t="n">
        <x:f>STDEV.S('Weekly Demand'!E733:E784)</x:f>
        <x:v>145.65112038284593</x:v>
      </x:c>
      <x:c r="K19" s="58" t="n">
        <x:f>AVERAGE('Weekly Demand'!E781:E784)</x:f>
        <x:v>113.75</x:v>
      </x:c>
      <x:c r="L19" s="61" t="n">
        <x:f>IFERROR(SUMIFS('Weekly Demand'!$K$5:$K$1044,'Weekly Demand'!$C$5:$C$1044,$B19,'Weekly Demand'!$M$5:$M$1044,"Validation")/SUMIFS('Weekly Demand'!$E$5:$E$1044,'Weekly Demand'!$C$5:$C$1044,$B19,'Weekly Demand'!$M$5:$M$1044,"Validation"),"")</x:f>
        <x:v>0.4930939226519337</x:v>
      </x:c>
      <x:c r="M19" s="61" t="n">
        <x:f>IFERROR(SUMIFS('Weekly Demand'!$J$5:$J$1044,'Weekly Demand'!$C$5:$C$1044,$B19,'Weekly Demand'!$M$5:$M$1044,"Validation")/SUMIFS('Weekly Demand'!$E$5:$E$1044,'Weekly Demand'!$C$5:$C$1044,$B19,'Weekly Demand'!$M$5:$M$1044,"Validation"),"")</x:f>
        <x:v>0.3848987108655617</x:v>
      </x:c>
      <x:c r="N19" s="61" t="n">
        <x:f>IFERROR(1-L19/M19,"")</x:f>
        <x:v>-0.2811004784688995</x:v>
      </x:c>
      <x:c r="O19" s="23" t="n">
        <x:f>'Assumptions &amp; Source'!B7</x:f>
        <x:v>2</x:v>
      </x:c>
      <x:c r="P19" s="61" t="n">
        <x:f>'Assumptions &amp; Source'!B8</x:f>
        <x:v>0.95</x:v>
      </x:c>
      <x:c r="Q19" s="34" t="n">
        <x:f>'Assumptions &amp; Source'!B9*J19*SQRT(O19)</x:f>
        <x:v>338.8400442543229</x:v>
      </x:c>
      <x:c r="R19" s="34" t="n">
        <x:f>ROUND(I19*O19+Q19,0)</x:f>
        <x:v>622</x:v>
      </x:c>
      <x:c r="S19" s="34" t="n">
        <x:f>ROUND(K19*4,0)</x:f>
        <x:v>455</x:v>
      </x:c>
    </x:row>
    <x:row r="20">
      <x:c r="A20" s="23" t="n">
        <x:v>16</x:v>
      </x:c>
      <x:c r="B20" s="23" t="str">
        <x:v>23284</x:v>
      </x:c>
      <x:c r="C20" s="23" t="str">
        <x:v>DOORMAT KEEP CALM AND COME IN</x:v>
      </x:c>
      <x:c r="D20" s="34" t="n">
        <x:f>SUMIFS('Weekly Demand'!$E$5:$E$1044,'Weekly Demand'!$C$5:$C$1044,$B20)</x:f>
        <x:v>5367</x:v>
      </x:c>
      <x:c r="E20" s="64" t="n">
        <x:f>SUMIFS('Weekly Demand'!$F$5:$F$1044,'Weekly Demand'!$C$5:$C$1044,$B20)</x:f>
        <x:v>37111.6</x:v>
      </x:c>
      <x:c r="F20" s="61" t="n">
        <x:f>E20/SUM($E$5:$E$24)</x:f>
        <x:v>0.03109581198695641</x:v>
      </x:c>
      <x:c r="G20" s="61" t="n">
        <x:f>SUM($F$5:F20)</x:f>
        <x:v>0.8847354508604082</x:v>
      </x:c>
      <x:c r="H20" s="23" t="str">
        <x:f>IF(G20&lt;=0.8,"A",IF(G20&lt;=0.95,"B","C"))</x:f>
        <x:v>B</x:v>
      </x:c>
      <x:c r="I20" s="58" t="n">
        <x:f>AVERAGE('Weekly Demand'!E785:E836)</x:f>
        <x:v>103.21153846153847</x:v>
      </x:c>
      <x:c r="J20" s="58" t="n">
        <x:f>STDEV.S('Weekly Demand'!E785:E836)</x:f>
        <x:v>185.0397240381009</x:v>
      </x:c>
      <x:c r="K20" s="58" t="n">
        <x:f>AVERAGE('Weekly Demand'!E833:E836)</x:f>
        <x:v>160</x:v>
      </x:c>
      <x:c r="L20" s="61" t="n">
        <x:f>IFERROR(SUMIFS('Weekly Demand'!$K$5:$K$1044,'Weekly Demand'!$C$5:$C$1044,$B20,'Weekly Demand'!$M$5:$M$1044,"Validation")/SUMIFS('Weekly Demand'!$E$5:$E$1044,'Weekly Demand'!$C$5:$C$1044,$B20,'Weekly Demand'!$M$5:$M$1044,"Validation"),"")</x:f>
        <x:v>0.7747890295358649</x:v>
      </x:c>
      <x:c r="M20" s="61" t="n">
        <x:f>IFERROR(SUMIFS('Weekly Demand'!$J$5:$J$1044,'Weekly Demand'!$C$5:$C$1044,$B20,'Weekly Demand'!$M$5:$M$1044,"Validation")/SUMIFS('Weekly Demand'!$E$5:$E$1044,'Weekly Demand'!$C$5:$C$1044,$B20,'Weekly Demand'!$M$5:$M$1044,"Validation"),"")</x:f>
        <x:v>0.5773558368495078</x:v>
      </x:c>
      <x:c r="N20" s="61" t="n">
        <x:f>IFERROR(1-L20/M20,"")</x:f>
        <x:v>-0.341961023142509</x:v>
      </x:c>
      <x:c r="O20" s="23" t="n">
        <x:f>'Assumptions &amp; Source'!B7</x:f>
        <x:v>2</x:v>
      </x:c>
      <x:c r="P20" s="61" t="n">
        <x:f>'Assumptions &amp; Source'!B8</x:f>
        <x:v>0.95</x:v>
      </x:c>
      <x:c r="Q20" s="34" t="n">
        <x:f>'Assumptions &amp; Source'!B9*J20*SQRT(O20)</x:f>
        <x:v>430.47295562899194</x:v>
      </x:c>
      <x:c r="R20" s="34" t="n">
        <x:f>ROUND(I20*O20+Q20,0)</x:f>
        <x:v>637</x:v>
      </x:c>
      <x:c r="S20" s="34" t="n">
        <x:f>ROUND(K20*4,0)</x:f>
        <x:v>640</x:v>
      </x:c>
    </x:row>
    <x:row r="21">
      <x:c r="A21" s="23" t="n">
        <x:v>17</x:v>
      </x:c>
      <x:c r="B21" s="23" t="str">
        <x:v>22960</x:v>
      </x:c>
      <x:c r="C21" s="23" t="str">
        <x:v>JAM MAKING SET WITH JARS</x:v>
      </x:c>
      <x:c r="D21" s="34" t="n">
        <x:f>SUMIFS('Weekly Demand'!$E$5:$E$1044,'Weekly Demand'!$C$5:$C$1044,$B21)</x:f>
        <x:v>8346</x:v>
      </x:c>
      <x:c r="E21" s="64" t="n">
        <x:f>SUMIFS('Weekly Demand'!$F$5:$F$1044,'Weekly Demand'!$C$5:$C$1044,$B21)</x:f>
        <x:v>35429.2</x:v>
      </x:c>
      <x:c r="F21" s="61" t="n">
        <x:f>E21/SUM($E$5:$E$24)</x:f>
        <x:v>0.02968612892056058</x:v>
      </x:c>
      <x:c r="G21" s="61" t="n">
        <x:f>SUM($F$5:F21)</x:f>
        <x:v>0.9144215797809687</x:v>
      </x:c>
      <x:c r="H21" s="23" t="str">
        <x:f>IF(G21&lt;=0.8,"A",IF(G21&lt;=0.95,"B","C"))</x:f>
        <x:v>B</x:v>
      </x:c>
      <x:c r="I21" s="58" t="n">
        <x:f>AVERAGE('Weekly Demand'!E837:E888)</x:f>
        <x:v>160.5</x:v>
      </x:c>
      <x:c r="J21" s="58" t="n">
        <x:f>STDEV.S('Weekly Demand'!E837:E888)</x:f>
        <x:v>95.27555495796925</x:v>
      </x:c>
      <x:c r="K21" s="58" t="n">
        <x:f>AVERAGE('Weekly Demand'!E885:E888)</x:f>
        <x:v>211.75</x:v>
      </x:c>
      <x:c r="L21" s="61" t="n">
        <x:f>IFERROR(SUMIFS('Weekly Demand'!$K$5:$K$1044,'Weekly Demand'!$C$5:$C$1044,$B21,'Weekly Demand'!$M$5:$M$1044,"Validation")/SUMIFS('Weekly Demand'!$E$5:$E$1044,'Weekly Demand'!$C$5:$C$1044,$B21,'Weekly Demand'!$M$5:$M$1044,"Validation"),"")</x:f>
        <x:v>0.3725766103814884</x:v>
      </x:c>
      <x:c r="M21" s="61" t="n">
        <x:f>IFERROR(SUMIFS('Weekly Demand'!$J$5:$J$1044,'Weekly Demand'!$C$5:$C$1044,$B21,'Weekly Demand'!$M$5:$M$1044,"Validation")/SUMIFS('Weekly Demand'!$E$5:$E$1044,'Weekly Demand'!$C$5:$C$1044,$B21,'Weekly Demand'!$M$5:$M$1044,"Validation"),"")</x:f>
        <x:v>0.5609756097560976</x:v>
      </x:c>
      <x:c r="N21" s="61" t="n">
        <x:f>IFERROR(1-L21/M21,"")</x:f>
        <x:v>0.3358416945373468</x:v>
      </x:c>
      <x:c r="O21" s="23" t="n">
        <x:f>'Assumptions &amp; Source'!B7</x:f>
        <x:v>2</x:v>
      </x:c>
      <x:c r="P21" s="61" t="n">
        <x:f>'Assumptions &amp; Source'!B8</x:f>
        <x:v>0.95</x:v>
      </x:c>
      <x:c r="Q21" s="34" t="n">
        <x:f>'Assumptions &amp; Source'!B9*J21*SQRT(O21)</x:f>
        <x:v>221.64727036398153</x:v>
      </x:c>
      <x:c r="R21" s="34" t="n">
        <x:f>ROUND(I21*O21+Q21,0)</x:f>
        <x:v>543</x:v>
      </x:c>
      <x:c r="S21" s="34" t="n">
        <x:f>ROUND(K21*4,0)</x:f>
        <x:v>847</x:v>
      </x:c>
    </x:row>
    <x:row r="22">
      <x:c r="A22" s="23" t="n">
        <x:v>18</x:v>
      </x:c>
      <x:c r="B22" s="23" t="str">
        <x:v>20725</x:v>
      </x:c>
      <x:c r="C22" s="23" t="str">
        <x:v>LUNCH BAG RED RETROSPOT</x:v>
      </x:c>
      <x:c r="D22" s="34" t="n">
        <x:f>SUMIFS('Weekly Demand'!$E$5:$E$1044,'Weekly Demand'!$C$5:$C$1044,$B22)</x:f>
        <x:v>19071</x:v>
      </x:c>
      <x:c r="E22" s="64" t="n">
        <x:f>SUMIFS('Weekly Demand'!$F$5:$F$1044,'Weekly Demand'!$C$5:$C$1044,$B22)</x:f>
        <x:v>35174.1</x:v>
      </x:c>
      <x:c r="F22" s="61" t="n">
        <x:f>E22/SUM($E$5:$E$24)</x:f>
        <x:v>0.029472380614427925</x:v>
      </x:c>
      <x:c r="G22" s="61" t="n">
        <x:f>SUM($F$5:F22)</x:f>
        <x:v>0.9438939603953966</x:v>
      </x:c>
      <x:c r="H22" s="23" t="str">
        <x:f>IF(G22&lt;=0.8,"A",IF(G22&lt;=0.95,"B","C"))</x:f>
        <x:v>B</x:v>
      </x:c>
      <x:c r="I22" s="58" t="n">
        <x:f>AVERAGE('Weekly Demand'!E889:E940)</x:f>
        <x:v>366.75</x:v>
      </x:c>
      <x:c r="J22" s="58" t="n">
        <x:f>STDEV.S('Weekly Demand'!E889:E940)</x:f>
        <x:v>180.00859184287538</x:v>
      </x:c>
      <x:c r="K22" s="58" t="n">
        <x:f>AVERAGE('Weekly Demand'!E937:E940)</x:f>
        <x:v>453.25</x:v>
      </x:c>
      <x:c r="L22" s="61" t="n">
        <x:f>IFERROR(SUMIFS('Weekly Demand'!$K$5:$K$1044,'Weekly Demand'!$C$5:$C$1044,$B22,'Weekly Demand'!$M$5:$M$1044,"Validation")/SUMIFS('Weekly Demand'!$E$5:$E$1044,'Weekly Demand'!$C$5:$C$1044,$B22,'Weekly Demand'!$M$5:$M$1044,"Validation"),"")</x:f>
        <x:v>0.3287314610287157</x:v>
      </x:c>
      <x:c r="M22" s="61" t="n">
        <x:f>IFERROR(SUMIFS('Weekly Demand'!$J$5:$J$1044,'Weekly Demand'!$C$5:$C$1044,$B22,'Weekly Demand'!$M$5:$M$1044,"Validation")/SUMIFS('Weekly Demand'!$E$5:$E$1044,'Weekly Demand'!$C$5:$C$1044,$B22,'Weekly Demand'!$M$5:$M$1044,"Validation"),"")</x:f>
        <x:v>0.34427264121173873</x:v>
      </x:c>
      <x:c r="N22" s="61" t="n">
        <x:f>IFERROR(1-L22/M22,"")</x:f>
        <x:v>0.045142071494042146</x:v>
      </x:c>
      <x:c r="O22" s="23" t="n">
        <x:f>'Assumptions &amp; Source'!B7</x:f>
        <x:v>2</x:v>
      </x:c>
      <x:c r="P22" s="61" t="n">
        <x:f>'Assumptions &amp; Source'!B8</x:f>
        <x:v>0.95</x:v>
      </x:c>
      <x:c r="Q22" s="34" t="n">
        <x:f>'Assumptions &amp; Source'!B9*J22*SQRT(O22)</x:f>
        <x:v>418.7686237213581</x:v>
      </x:c>
      <x:c r="R22" s="34" t="n">
        <x:f>ROUND(I22*O22+Q22,0)</x:f>
        <x:v>1152</x:v>
      </x:c>
      <x:c r="S22" s="34" t="n">
        <x:f>ROUND(K22*4,0)</x:f>
        <x:v>1813</x:v>
      </x:c>
    </x:row>
    <x:row r="23">
      <x:c r="A23" s="23" t="n">
        <x:v>19</x:v>
      </x:c>
      <x:c r="B23" s="23" t="str">
        <x:v>82484</x:v>
      </x:c>
      <x:c r="C23" s="23" t="str">
        <x:v>WOOD BLACK BOARD ANT WHITE FINISH</x:v>
      </x:c>
      <x:c r="D23" s="34" t="n">
        <x:f>SUMIFS('Weekly Demand'!$E$5:$E$1044,'Weekly Demand'!$C$5:$C$1044,$B23)</x:f>
        <x:v>5637</x:v>
      </x:c>
      <x:c r="E23" s="64" t="n">
        <x:f>SUMIFS('Weekly Demand'!$F$5:$F$1044,'Weekly Demand'!$C$5:$C$1044,$B23)</x:f>
        <x:v>33805.25</x:v>
      </x:c>
      <x:c r="F23" s="61" t="n">
        <x:f>E23/SUM($E$5:$E$24)</x:f>
        <x:v>0.028325421112861158</x:v>
      </x:c>
      <x:c r="G23" s="61" t="n">
        <x:f>SUM($F$5:F23)</x:f>
        <x:v>0.9722193815082578</x:v>
      </x:c>
      <x:c r="H23" s="23" t="str">
        <x:f>IF(G23&lt;=0.8,"A",IF(G23&lt;=0.95,"B","C"))</x:f>
        <x:v>C</x:v>
      </x:c>
      <x:c r="I23" s="58" t="n">
        <x:f>AVERAGE('Weekly Demand'!E941:E992)</x:f>
        <x:v>108.40384615384616</x:v>
      </x:c>
      <x:c r="J23" s="58" t="n">
        <x:f>STDEV.S('Weekly Demand'!E941:E992)</x:f>
        <x:v>171.58525687562408</x:v>
      </x:c>
      <x:c r="K23" s="58" t="n">
        <x:f>AVERAGE('Weekly Demand'!E989:E992)</x:f>
        <x:v>69.5</x:v>
      </x:c>
      <x:c r="L23" s="61" t="n">
        <x:f>IFERROR(SUMIFS('Weekly Demand'!$K$5:$K$1044,'Weekly Demand'!$C$5:$C$1044,$B23,'Weekly Demand'!$M$5:$M$1044,"Validation")/SUMIFS('Weekly Demand'!$E$5:$E$1044,'Weekly Demand'!$C$5:$C$1044,$B23,'Weekly Demand'!$M$5:$M$1044,"Validation"),"")</x:f>
        <x:v>0.5342987804878049</x:v>
      </x:c>
      <x:c r="M23" s="61" t="n">
        <x:f>IFERROR(SUMIFS('Weekly Demand'!$J$5:$J$1044,'Weekly Demand'!$C$5:$C$1044,$B23,'Weekly Demand'!$M$5:$M$1044,"Validation")/SUMIFS('Weekly Demand'!$E$5:$E$1044,'Weekly Demand'!$C$5:$C$1044,$B23,'Weekly Demand'!$M$5:$M$1044,"Validation"),"")</x:f>
        <x:v>0.8292682926829268</x:v>
      </x:c>
      <x:c r="N23" s="61" t="n">
        <x:f>IFERROR(1-L23/M23,"")</x:f>
        <x:v>0.3556985294117647</x:v>
      </x:c>
      <x:c r="O23" s="23" t="n">
        <x:f>'Assumptions &amp; Source'!B7</x:f>
        <x:v>2</x:v>
      </x:c>
      <x:c r="P23" s="61" t="n">
        <x:f>'Assumptions &amp; Source'!B8</x:f>
        <x:v>0.95</x:v>
      </x:c>
      <x:c r="Q23" s="34" t="n">
        <x:f>'Assumptions &amp; Source'!B9*J23*SQRT(O23)</x:f>
        <x:v>399.1727346848014</x:v>
      </x:c>
      <x:c r="R23" s="34" t="n">
        <x:f>ROUND(I23*O23+Q23,0)</x:f>
        <x:v>616</x:v>
      </x:c>
      <x:c r="S23" s="34" t="n">
        <x:f>ROUND(K23*4,0)</x:f>
        <x:v>278</x:v>
      </x:c>
    </x:row>
    <x:row r="24">
      <x:c r="A24" s="24" t="n">
        <x:v>20</x:v>
      </x:c>
      <x:c r="B24" s="24" t="str">
        <x:v>21137</x:v>
      </x:c>
      <x:c r="C24" s="24" t="str">
        <x:v>BLACK RECORD COVER FRAME</x:v>
      </x:c>
      <x:c r="D24" s="53" t="n">
        <x:f>SUMIFS('Weekly Demand'!$E$5:$E$1044,'Weekly Demand'!$C$5:$C$1044,$B24)</x:f>
        <x:v>9513</x:v>
      </x:c>
      <x:c r="E24" s="65" t="n">
        <x:f>SUMIFS('Weekly Demand'!$F$5:$F$1044,'Weekly Demand'!$C$5:$C$1044,$B24)</x:f>
        <x:v>33155.05</x:v>
      </x:c>
      <x:c r="F24" s="62" t="n">
        <x:f>E24/SUM($E$5:$E$24)</x:f>
        <x:v>0.02778061849174218</x:v>
      </x:c>
      <x:c r="G24" s="62" t="n">
        <x:f>SUM($F$5:F24)</x:f>
        <x:v>1</x:v>
      </x:c>
      <x:c r="H24" s="24" t="str">
        <x:f>IF(G24&lt;=0.8,"A",IF(G24&lt;=0.95,"B","C"))</x:f>
        <x:v>C</x:v>
      </x:c>
      <x:c r="I24" s="59" t="n">
        <x:f>AVERAGE('Weekly Demand'!E993:E1044)</x:f>
        <x:v>182.94230769230768</x:v>
      </x:c>
      <x:c r="J24" s="59" t="n">
        <x:f>STDEV.S('Weekly Demand'!E993:E1044)</x:f>
        <x:v>217.37131992050357</x:v>
      </x:c>
      <x:c r="K24" s="59" t="n">
        <x:f>AVERAGE('Weekly Demand'!E1041:E1044)</x:f>
        <x:v>470.75</x:v>
      </x:c>
      <x:c r="L24" s="62" t="n">
        <x:f>IFERROR(SUMIFS('Weekly Demand'!$K$5:$K$1044,'Weekly Demand'!$C$5:$C$1044,$B24,'Weekly Demand'!$M$5:$M$1044,"Validation")/SUMIFS('Weekly Demand'!$E$5:$E$1044,'Weekly Demand'!$C$5:$C$1044,$B24,'Weekly Demand'!$M$5:$M$1044,"Validation"),"")</x:f>
        <x:v>0.7249045801526718</x:v>
      </x:c>
      <x:c r="M24" s="62" t="n">
        <x:f>IFERROR(SUMIFS('Weekly Demand'!$J$5:$J$1044,'Weekly Demand'!$C$5:$C$1044,$B24,'Weekly Demand'!$M$5:$M$1044,"Validation")/SUMIFS('Weekly Demand'!$E$5:$E$1044,'Weekly Demand'!$C$5:$C$1044,$B24,'Weekly Demand'!$M$5:$M$1044,"Validation"),"")</x:f>
        <x:v>0.9977099236641221</x:v>
      </x:c>
      <x:c r="N24" s="62" t="n">
        <x:f>IFERROR(1-L24/M24,"")</x:f>
        <x:v>0.27343152257077274</x:v>
      </x:c>
      <x:c r="O24" s="24" t="n">
        <x:f>'Assumptions &amp; Source'!B7</x:f>
        <x:v>2</x:v>
      </x:c>
      <x:c r="P24" s="62" t="n">
        <x:f>'Assumptions &amp; Source'!B8</x:f>
        <x:v>0.95</x:v>
      </x:c>
      <x:c r="Q24" s="53" t="n">
        <x:f>'Assumptions &amp; Source'!B9*J24*SQRT(O24)</x:f>
        <x:v>505.6885760156406</x:v>
      </x:c>
      <x:c r="R24" s="53" t="n">
        <x:f>ROUND(I24*O24+Q24,0)</x:f>
        <x:v>872</x:v>
      </x:c>
      <x:c r="S24" s="53" t="n">
        <x:f>ROUND(K24*4,0)</x:f>
        <x:v>1883</x:v>
      </x:c>
    </x:row>
  </x:sheetData>
  <x:mergeCells>
    <x:mergeCell ref="A1:S1"/>
    <x:mergeCell ref="A2:S2"/>
  </x:mergeCells>
  <x:conditionalFormatting sqref="H5:H24">
    <x:cfRule type="containsText" dxfId="1" priority="1" operator="containsText" text="A"/>
    <x:cfRule type="containsText" dxfId="2" priority="2" operator="containsText" text="B"/>
    <x:cfRule type="containsText" dxfId="3" priority="3" operator="containsText" text="C"/>
  </x:conditionalFormatting>
  <x:conditionalFormatting sqref="N5:N24">
    <x:cfRule type="colorScale" priority="4">
      <x:colorScale>
        <x:cfvo type="min"/>
        <x:cfvo type="percentile" val="50"/>
        <x:cfvo type="max"/>
        <x:color rgb="FFE76F51"/>
        <x:color rgb="FFE9C46A"/>
        <x:color rgb="FF2A9D8F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3" hidden="0" customWidth="1"/>
    <x:col min="2" max="2" width="8" hidden="0" customWidth="1"/>
    <x:col min="3" max="3" width="11" hidden="0" customWidth="1"/>
    <x:col min="4" max="4" width="3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4" customHeight="1">
      <x:c r="A1" s="4" t="str">
        <x:v>Weekly Demand and Forecast Backtest</x:v>
      </x:c>
      <x:c r="B1" s="4" t="str">
        <x:v>Weekly Demand and Forecast Backtest</x:v>
      </x:c>
      <x:c r="C1" s="4" t="str">
        <x:v>Weekly Demand and Forecast Backtest</x:v>
      </x:c>
      <x:c r="D1" s="4" t="str">
        <x:v>Weekly Demand and Forecast Backtest</x:v>
      </x:c>
      <x:c r="E1" s="4" t="str">
        <x:v>Weekly Demand and Forecast Backtest</x:v>
      </x:c>
      <x:c r="F1" s="4" t="str">
        <x:v>Weekly Demand and Forecast Backtest</x:v>
      </x:c>
      <x:c r="G1" s="4" t="str">
        <x:v>Weekly Demand and Forecast Backtest</x:v>
      </x:c>
      <x:c r="H1" s="4" t="str">
        <x:v>Weekly Demand and Forecast Backtest</x:v>
      </x:c>
      <x:c r="I1" s="4" t="str">
        <x:v>Weekly Demand and Forecast Backtest</x:v>
      </x:c>
      <x:c r="J1" s="4" t="str">
        <x:v>Weekly Demand and Forecast Backtest</x:v>
      </x:c>
      <x:c r="K1" s="4" t="str">
        <x:v>Weekly Demand and Forecast Backtest</x:v>
      </x:c>
      <x:c r="L1" s="4" t="str">
        <x:v>Weekly Demand and Forecast Backtest</x:v>
      </x:c>
      <x:c r="M1" s="4" t="str">
        <x:v>Weekly Demand and Forecast Backtest</x:v>
      </x:c>
      <x:c r="N1" s="4" t="str">
        <x:v>Weekly Demand and Forecast Backtest</x:v>
      </x:c>
    </x:row>
    <x:row r="2" ht="30" customHeight="1">
      <x:c r="A2" s="8" t="str">
        <x:v>Each SKU has 52 weekly observations. Weeks 45–52 form the holdout period used to compare forecast methods.</x:v>
      </x:c>
      <x:c r="B2" s="8" t="str">
        <x:v>Each SKU has 52 weekly observations. Weeks 45–52 form the holdout period used to compare forecast methods.</x:v>
      </x:c>
      <x:c r="C2" s="8" t="str">
        <x:v>Each SKU has 52 weekly observations. Weeks 45–52 form the holdout period used to compare forecast methods.</x:v>
      </x:c>
      <x:c r="D2" s="8" t="str">
        <x:v>Each SKU has 52 weekly observations. Weeks 45–52 form the holdout period used to compare forecast methods.</x:v>
      </x:c>
      <x:c r="E2" s="8" t="str">
        <x:v>Each SKU has 52 weekly observations. Weeks 45–52 form the holdout period used to compare forecast methods.</x:v>
      </x:c>
      <x:c r="F2" s="8" t="str">
        <x:v>Each SKU has 52 weekly observations. Weeks 45–52 form the holdout period used to compare forecast methods.</x:v>
      </x:c>
      <x:c r="G2" s="8" t="str">
        <x:v>Each SKU has 52 weekly observations. Weeks 45–52 form the holdout period used to compare forecast methods.</x:v>
      </x:c>
      <x:c r="H2" s="8" t="str">
        <x:v>Each SKU has 52 weekly observations. Weeks 45–52 form the holdout period used to compare forecast methods.</x:v>
      </x:c>
      <x:c r="I2" s="8" t="str">
        <x:v>Each SKU has 52 weekly observations. Weeks 45–52 form the holdout period used to compare forecast methods.</x:v>
      </x:c>
      <x:c r="J2" s="8" t="str">
        <x:v>Each SKU has 52 weekly observations. Weeks 45–52 form the holdout period used to compare forecast methods.</x:v>
      </x:c>
      <x:c r="K2" s="8" t="str">
        <x:v>Each SKU has 52 weekly observations. Weeks 45–52 form the holdout period used to compare forecast methods.</x:v>
      </x:c>
      <x:c r="L2" s="8" t="str">
        <x:v>Each SKU has 52 weekly observations. Weeks 45–52 form the holdout period used to compare forecast methods.</x:v>
      </x:c>
      <x:c r="M2" s="8" t="str">
        <x:v>Each SKU has 52 weekly observations. Weeks 45–52 form the holdout period used to compare forecast methods.</x:v>
      </x:c>
      <x:c r="N2" s="8" t="str">
        <x:v>Each SKU has 52 weekly observations. Weeks 45–52 form the holdout period used to compare forecast methods.</x:v>
      </x:c>
    </x:row>
    <x:row r="4" ht="30" customHeight="1">
      <x:c r="A4" s="16" t="str">
        <x:v>Week Start</x:v>
      </x:c>
      <x:c r="B4" s="51" t="str">
        <x:v>Week #</x:v>
      </x:c>
      <x:c r="C4" s="51" t="str">
        <x:v>SKU</x:v>
      </x:c>
      <x:c r="D4" s="51" t="str">
        <x:v>Product</x:v>
      </x:c>
      <x:c r="E4" s="51" t="str">
        <x:v>Actual Units</x:v>
      </x:c>
      <x:c r="F4" s="51" t="str">
        <x:v>Revenue (£)</x:v>
      </x:c>
      <x:c r="G4" s="51" t="str">
        <x:v>Naive Forecast (1W)</x:v>
      </x:c>
      <x:c r="H4" s="51" t="str">
        <x:v>4-Week Moving Avg</x:v>
      </x:c>
      <x:c r="I4" s="51" t="str">
        <x:v>8-Week Moving Avg</x:v>
      </x:c>
      <x:c r="J4" s="51" t="str">
        <x:v>Abs Error: Naive</x:v>
      </x:c>
      <x:c r="K4" s="51" t="str">
        <x:v>Abs Error: 4W</x:v>
      </x:c>
      <x:c r="L4" s="51" t="str">
        <x:v>Abs Error: 8W</x:v>
      </x:c>
      <x:c r="M4" s="51" t="str">
        <x:v>Phase</x:v>
      </x:c>
      <x:c r="N4" s="17" t="str">
        <x:v>APE: 4W</x:v>
      </x:c>
    </x:row>
    <x:row r="5">
      <x:c r="A5" s="52" t="n">
        <x:v>40518</x:v>
      </x:c>
      <x:c r="B5" s="22" t="n">
        <x:v>1</x:v>
      </x:c>
      <x:c r="C5" s="22" t="str">
        <x:v>22423</x:v>
      </x:c>
      <x:c r="D5" s="22" t="str">
        <x:v>REGENCY CAKESTAND 3 TIER</x:v>
      </x:c>
      <x:c r="E5" s="33" t="n">
        <x:v>851</x:v>
      </x:c>
      <x:c r="F5" s="54" t="n">
        <x:v>10902.59</x:v>
      </x:c>
      <x:c r="G5" s="57" t="str">
        <x:f>""</x:f>
      </x:c>
      <x:c r="H5" s="57" t="str">
        <x:f>""</x:f>
      </x:c>
      <x:c r="I5" s="57" t="str">
        <x:f>""</x:f>
      </x:c>
      <x:c r="J5" s="57" t="str">
        <x:f>IF(G5="","",ABS(E5-G5))</x:f>
      </x:c>
      <x:c r="K5" s="57" t="str">
        <x:f>IF(H5="","",ABS(E5-H5))</x:f>
      </x:c>
      <x:c r="L5" s="57" t="str">
        <x:f>IF(I5="","",ABS(E5-I5))</x:f>
      </x:c>
      <x:c r="M5" s="22" t="str">
        <x:f>IF(B5&gt;44,"Validation","Training")</x:f>
        <x:v>Training</x:v>
      </x:c>
      <x:c r="N5" s="60" t="str">
        <x:f>IF(OR(H5="",E5=0),"",K5/E5)</x:f>
      </x:c>
    </x:row>
    <x:row r="6">
      <x:c r="A6" s="28" t="n">
        <x:v>40525</x:v>
      </x:c>
      <x:c r="B6" s="23" t="n">
        <x:v>2</x:v>
      </x:c>
      <x:c r="C6" s="23" t="str">
        <x:v>22423</x:v>
      </x:c>
      <x:c r="D6" s="23" t="str">
        <x:v>REGENCY CAKESTAND 3 TIER</x:v>
      </x:c>
      <x:c r="E6" s="34" t="n">
        <x:v>442</x:v>
      </x:c>
      <x:c r="F6" s="55" t="n">
        <x:v>5919.72</x:v>
      </x:c>
      <x:c r="G6" s="58" t="n">
        <x:f>E5</x:f>
        <x:v>851</x:v>
      </x:c>
      <x:c r="H6" s="58" t="str">
        <x:f>""</x:f>
      </x:c>
      <x:c r="I6" s="58" t="str">
        <x:f>""</x:f>
      </x:c>
      <x:c r="J6" s="58" t="n">
        <x:f>IF(G6="","",ABS(E6-G6))</x:f>
        <x:v>409</x:v>
      </x:c>
      <x:c r="K6" s="58" t="str">
        <x:f>IF(H6="","",ABS(E6-H6))</x:f>
      </x:c>
      <x:c r="L6" s="58" t="str">
        <x:f>IF(I6="","",ABS(E6-I6))</x:f>
      </x:c>
      <x:c r="M6" s="23" t="str">
        <x:f>IF(B6&gt;44,"Validation","Training")</x:f>
        <x:v>Training</x:v>
      </x:c>
      <x:c r="N6" s="61" t="str">
        <x:f>IF(OR(H6="",E6=0),"",K6/E6)</x:f>
      </x:c>
    </x:row>
    <x:row r="7">
      <x:c r="A7" s="28" t="n">
        <x:v>40532</x:v>
      </x:c>
      <x:c r="B7" s="23" t="n">
        <x:v>3</x:v>
      </x:c>
      <x:c r="C7" s="23" t="str">
        <x:v>22423</x:v>
      </x:c>
      <x:c r="D7" s="23" t="str">
        <x:v>REGENCY CAKESTAND 3 TIER</x:v>
      </x:c>
      <x:c r="E7" s="34" t="n">
        <x:v>178</x:v>
      </x:c>
      <x:c r="F7" s="55" t="n">
        <x:v>3329.7</x:v>
      </x:c>
      <x:c r="G7" s="58" t="n">
        <x:f>E6</x:f>
        <x:v>442</x:v>
      </x:c>
      <x:c r="H7" s="58" t="str">
        <x:f>""</x:f>
      </x:c>
      <x:c r="I7" s="58" t="str">
        <x:f>""</x:f>
      </x:c>
      <x:c r="J7" s="58" t="n">
        <x:f>IF(G7="","",ABS(E7-G7))</x:f>
        <x:v>264</x:v>
      </x:c>
      <x:c r="K7" s="58" t="str">
        <x:f>IF(H7="","",ABS(E7-H7))</x:f>
      </x:c>
      <x:c r="L7" s="58" t="str">
        <x:f>IF(I7="","",ABS(E7-I7))</x:f>
      </x:c>
      <x:c r="M7" s="23" t="str">
        <x:f>IF(B7&gt;44,"Validation","Training")</x:f>
        <x:v>Training</x:v>
      </x:c>
      <x:c r="N7" s="61" t="str">
        <x:f>IF(OR(H7="",E7=0),"",K7/E7)</x:f>
      </x:c>
    </x:row>
    <x:row r="8">
      <x:c r="A8" s="28" t="n">
        <x:v>40539</x:v>
      </x:c>
      <x:c r="B8" s="23" t="n">
        <x:v>4</x:v>
      </x:c>
      <x:c r="C8" s="23" t="str">
        <x:v>22423</x:v>
      </x:c>
      <x:c r="D8" s="23" t="str">
        <x:v>REGENCY CAKESTAND 3 TIER</x:v>
      </x:c>
      <x:c r="E8" s="34" t="n">
        <x:v>0</x:v>
      </x:c>
      <x:c r="F8" s="55" t="n">
        <x:v>0</x:v>
      </x:c>
      <x:c r="G8" s="58" t="n">
        <x:f>E7</x:f>
        <x:v>178</x:v>
      </x:c>
      <x:c r="H8" s="58" t="str">
        <x:f>""</x:f>
      </x:c>
      <x:c r="I8" s="58" t="str">
        <x:f>""</x:f>
      </x:c>
      <x:c r="J8" s="58" t="n">
        <x:f>IF(G8="","",ABS(E8-G8))</x:f>
        <x:v>178</x:v>
      </x:c>
      <x:c r="K8" s="58" t="str">
        <x:f>IF(H8="","",ABS(E8-H8))</x:f>
      </x:c>
      <x:c r="L8" s="58" t="str">
        <x:f>IF(I8="","",ABS(E8-I8))</x:f>
      </x:c>
      <x:c r="M8" s="23" t="str">
        <x:f>IF(B8&gt;44,"Validation","Training")</x:f>
        <x:v>Training</x:v>
      </x:c>
      <x:c r="N8" s="61" t="str">
        <x:f>IF(OR(H8="",E8=0),"",K8/E8)</x:f>
      </x:c>
    </x:row>
    <x:row r="9">
      <x:c r="A9" s="28" t="n">
        <x:v>40546</x:v>
      </x:c>
      <x:c r="B9" s="23" t="n">
        <x:v>5</x:v>
      </x:c>
      <x:c r="C9" s="23" t="str">
        <x:v>22423</x:v>
      </x:c>
      <x:c r="D9" s="23" t="str">
        <x:v>REGENCY CAKESTAND 3 TIER</x:v>
      </x:c>
      <x:c r="E9" s="34" t="n">
        <x:v>251</x:v>
      </x:c>
      <x:c r="F9" s="55" t="n">
        <x:v>3033.01</x:v>
      </x:c>
      <x:c r="G9" s="58" t="n">
        <x:f>E8</x:f>
        <x:v>0</x:v>
      </x:c>
      <x:c r="H9" s="58" t="n">
        <x:f>AVERAGE(E5:E8)</x:f>
        <x:v>367.75</x:v>
      </x:c>
      <x:c r="I9" s="58" t="str">
        <x:f>""</x:f>
      </x:c>
      <x:c r="J9" s="58" t="str">
        <x:f>IF(G9="","",ABS(E9-G9))</x:f>
      </x:c>
      <x:c r="K9" s="58" t="n">
        <x:f>IF(H9="","",ABS(E9-H9))</x:f>
        <x:v>116.75</x:v>
      </x:c>
      <x:c r="L9" s="58" t="str">
        <x:f>IF(I9="","",ABS(E9-I9))</x:f>
      </x:c>
      <x:c r="M9" s="23" t="str">
        <x:f>IF(B9&gt;44,"Validation","Training")</x:f>
        <x:v>Training</x:v>
      </x:c>
      <x:c r="N9" s="61" t="n">
        <x:f>IF(OR(H9="",E9=0),"",K9/E9)</x:f>
        <x:v>0.4651394422310757</x:v>
      </x:c>
    </x:row>
    <x:row r="10">
      <x:c r="A10" s="28" t="n">
        <x:v>40553</x:v>
      </x:c>
      <x:c r="B10" s="23" t="n">
        <x:v>6</x:v>
      </x:c>
      <x:c r="C10" s="23" t="str">
        <x:v>22423</x:v>
      </x:c>
      <x:c r="D10" s="23" t="str">
        <x:v>REGENCY CAKESTAND 3 TIER</x:v>
      </x:c>
      <x:c r="E10" s="34" t="n">
        <x:v>407</x:v>
      </x:c>
      <x:c r="F10" s="55" t="n">
        <x:v>4919.56</x:v>
      </x:c>
      <x:c r="G10" s="58" t="n">
        <x:f>E9</x:f>
        <x:v>251</x:v>
      </x:c>
      <x:c r="H10" s="58" t="n">
        <x:f>AVERAGE(E6:E9)</x:f>
        <x:v>217.75</x:v>
      </x:c>
      <x:c r="I10" s="58" t="str">
        <x:f>""</x:f>
      </x:c>
      <x:c r="J10" s="58" t="n">
        <x:f>IF(G10="","",ABS(E10-G10))</x:f>
        <x:v>156</x:v>
      </x:c>
      <x:c r="K10" s="58" t="n">
        <x:f>IF(H10="","",ABS(E10-H10))</x:f>
        <x:v>189.25</x:v>
      </x:c>
      <x:c r="L10" s="58" t="str">
        <x:f>IF(I10="","",ABS(E10-I10))</x:f>
      </x:c>
      <x:c r="M10" s="23" t="str">
        <x:f>IF(B10&gt;44,"Validation","Training")</x:f>
        <x:v>Training</x:v>
      </x:c>
      <x:c r="N10" s="61" t="n">
        <x:f>IF(OR(H10="",E10=0),"",K10/E10)</x:f>
        <x:v>0.46498771498771496</x:v>
      </x:c>
    </x:row>
    <x:row r="11">
      <x:c r="A11" s="28" t="n">
        <x:v>40560</x:v>
      </x:c>
      <x:c r="B11" s="23" t="n">
        <x:v>7</x:v>
      </x:c>
      <x:c r="C11" s="23" t="str">
        <x:v>22423</x:v>
      </x:c>
      <x:c r="D11" s="23" t="str">
        <x:v>REGENCY CAKESTAND 3 TIER</x:v>
      </x:c>
      <x:c r="E11" s="34" t="n">
        <x:v>139</x:v>
      </x:c>
      <x:c r="F11" s="55" t="n">
        <x:v>1823.61</x:v>
      </x:c>
      <x:c r="G11" s="58" t="n">
        <x:f>E10</x:f>
        <x:v>407</x:v>
      </x:c>
      <x:c r="H11" s="58" t="n">
        <x:f>AVERAGE(E7:E10)</x:f>
        <x:v>209</x:v>
      </x:c>
      <x:c r="I11" s="58" t="str">
        <x:f>""</x:f>
      </x:c>
      <x:c r="J11" s="58" t="n">
        <x:f>IF(G11="","",ABS(E11-G11))</x:f>
        <x:v>268</x:v>
      </x:c>
      <x:c r="K11" s="58" t="n">
        <x:f>IF(H11="","",ABS(E11-H11))</x:f>
        <x:v>70</x:v>
      </x:c>
      <x:c r="L11" s="58" t="str">
        <x:f>IF(I11="","",ABS(E11-I11))</x:f>
      </x:c>
      <x:c r="M11" s="23" t="str">
        <x:f>IF(B11&gt;44,"Validation","Training")</x:f>
        <x:v>Training</x:v>
      </x:c>
      <x:c r="N11" s="61" t="n">
        <x:f>IF(OR(H11="",E11=0),"",K11/E11)</x:f>
        <x:v>0.5035971223021583</x:v>
      </x:c>
    </x:row>
    <x:row r="12">
      <x:c r="A12" s="28" t="n">
        <x:v>40567</x:v>
      </x:c>
      <x:c r="B12" s="23" t="n">
        <x:v>8</x:v>
      </x:c>
      <x:c r="C12" s="23" t="str">
        <x:v>22423</x:v>
      </x:c>
      <x:c r="D12" s="23" t="str">
        <x:v>REGENCY CAKESTAND 3 TIER</x:v>
      </x:c>
      <x:c r="E12" s="34" t="n">
        <x:v>231</x:v>
      </x:c>
      <x:c r="F12" s="55" t="n">
        <x:v>2873.58</x:v>
      </x:c>
      <x:c r="G12" s="58" t="n">
        <x:f>E11</x:f>
        <x:v>139</x:v>
      </x:c>
      <x:c r="H12" s="58" t="n">
        <x:f>AVERAGE(E8:E11)</x:f>
        <x:v>199.25</x:v>
      </x:c>
      <x:c r="I12" s="58" t="str">
        <x:f>""</x:f>
      </x:c>
      <x:c r="J12" s="58" t="n">
        <x:f>IF(G12="","",ABS(E12-G12))</x:f>
        <x:v>92</x:v>
      </x:c>
      <x:c r="K12" s="58" t="n">
        <x:f>IF(H12="","",ABS(E12-H12))</x:f>
        <x:v>31.75</x:v>
      </x:c>
      <x:c r="L12" s="58" t="str">
        <x:f>IF(I12="","",ABS(E12-I12))</x:f>
      </x:c>
      <x:c r="M12" s="23" t="str">
        <x:f>IF(B12&gt;44,"Validation","Training")</x:f>
        <x:v>Training</x:v>
      </x:c>
      <x:c r="N12" s="61" t="n">
        <x:f>IF(OR(H12="",E12=0),"",K12/E12)</x:f>
        <x:v>0.13744588744588745</x:v>
      </x:c>
    </x:row>
    <x:row r="13">
      <x:c r="A13" s="28" t="n">
        <x:v>40574</x:v>
      </x:c>
      <x:c r="B13" s="23" t="n">
        <x:v>9</x:v>
      </x:c>
      <x:c r="C13" s="23" t="str">
        <x:v>22423</x:v>
      </x:c>
      <x:c r="D13" s="23" t="str">
        <x:v>REGENCY CAKESTAND 3 TIER</x:v>
      </x:c>
      <x:c r="E13" s="34" t="n">
        <x:v>150</x:v>
      </x:c>
      <x:c r="F13" s="55" t="n">
        <x:v>1890.6</x:v>
      </x:c>
      <x:c r="G13" s="58" t="n">
        <x:f>E12</x:f>
        <x:v>231</x:v>
      </x:c>
      <x:c r="H13" s="58" t="n">
        <x:f>AVERAGE(E9:E12)</x:f>
        <x:v>257</x:v>
      </x:c>
      <x:c r="I13" s="58" t="n">
        <x:f>AVERAGE(E5:E12)</x:f>
        <x:v>312.375</x:v>
      </x:c>
      <x:c r="J13" s="58" t="n">
        <x:f>IF(G13="","",ABS(E13-G13))</x:f>
        <x:v>81</x:v>
      </x:c>
      <x:c r="K13" s="58" t="n">
        <x:f>IF(H13="","",ABS(E13-H13))</x:f>
        <x:v>107</x:v>
      </x:c>
      <x:c r="L13" s="58" t="n">
        <x:f>IF(I13="","",ABS(E13-I13))</x:f>
        <x:v>162.375</x:v>
      </x:c>
      <x:c r="M13" s="23" t="str">
        <x:f>IF(B13&gt;44,"Validation","Training")</x:f>
        <x:v>Training</x:v>
      </x:c>
      <x:c r="N13" s="61" t="n">
        <x:f>IF(OR(H13="",E13=0),"",K13/E13)</x:f>
        <x:v>0.7133333333333334</x:v>
      </x:c>
    </x:row>
    <x:row r="14">
      <x:c r="A14" s="28" t="n">
        <x:v>40581</x:v>
      </x:c>
      <x:c r="B14" s="23" t="n">
        <x:v>10</x:v>
      </x:c>
      <x:c r="C14" s="23" t="str">
        <x:v>22423</x:v>
      </x:c>
      <x:c r="D14" s="23" t="str">
        <x:v>REGENCY CAKESTAND 3 TIER</x:v>
      </x:c>
      <x:c r="E14" s="34" t="n">
        <x:v>139</x:v>
      </x:c>
      <x:c r="F14" s="55" t="n">
        <x:v>1860.24</x:v>
      </x:c>
      <x:c r="G14" s="58" t="n">
        <x:f>E13</x:f>
        <x:v>150</x:v>
      </x:c>
      <x:c r="H14" s="58" t="n">
        <x:f>AVERAGE(E10:E13)</x:f>
        <x:v>231.75</x:v>
      </x:c>
      <x:c r="I14" s="58" t="n">
        <x:f>AVERAGE(E6:E13)</x:f>
        <x:v>224.75</x:v>
      </x:c>
      <x:c r="J14" s="58" t="n">
        <x:f>IF(G14="","",ABS(E14-G14))</x:f>
        <x:v>11</x:v>
      </x:c>
      <x:c r="K14" s="58" t="n">
        <x:f>IF(H14="","",ABS(E14-H14))</x:f>
        <x:v>92.75</x:v>
      </x:c>
      <x:c r="L14" s="58" t="n">
        <x:f>IF(I14="","",ABS(E14-I14))</x:f>
        <x:v>85.75</x:v>
      </x:c>
      <x:c r="M14" s="23" t="str">
        <x:f>IF(B14&gt;44,"Validation","Training")</x:f>
        <x:v>Training</x:v>
      </x:c>
      <x:c r="N14" s="61" t="n">
        <x:f>IF(OR(H14="",E14=0),"",K14/E14)</x:f>
        <x:v>0.6672661870503597</x:v>
      </x:c>
    </x:row>
    <x:row r="15">
      <x:c r="A15" s="28" t="n">
        <x:v>40588</x:v>
      </x:c>
      <x:c r="B15" s="23" t="n">
        <x:v>11</x:v>
      </x:c>
      <x:c r="C15" s="23" t="str">
        <x:v>22423</x:v>
      </x:c>
      <x:c r="D15" s="23" t="str">
        <x:v>REGENCY CAKESTAND 3 TIER</x:v>
      </x:c>
      <x:c r="E15" s="34" t="n">
        <x:v>400</x:v>
      </x:c>
      <x:c r="F15" s="55" t="n">
        <x:v>4651.74</x:v>
      </x:c>
      <x:c r="G15" s="58" t="n">
        <x:f>E14</x:f>
        <x:v>139</x:v>
      </x:c>
      <x:c r="H15" s="58" t="n">
        <x:f>AVERAGE(E11:E14)</x:f>
        <x:v>164.75</x:v>
      </x:c>
      <x:c r="I15" s="58" t="n">
        <x:f>AVERAGE(E7:E14)</x:f>
        <x:v>186.875</x:v>
      </x:c>
      <x:c r="J15" s="58" t="n">
        <x:f>IF(G15="","",ABS(E15-G15))</x:f>
        <x:v>261</x:v>
      </x:c>
      <x:c r="K15" s="58" t="n">
        <x:f>IF(H15="","",ABS(E15-H15))</x:f>
        <x:v>235.25</x:v>
      </x:c>
      <x:c r="L15" s="58" t="n">
        <x:f>IF(I15="","",ABS(E15-I15))</x:f>
        <x:v>213.125</x:v>
      </x:c>
      <x:c r="M15" s="23" t="str">
        <x:f>IF(B15&gt;44,"Validation","Training")</x:f>
        <x:v>Training</x:v>
      </x:c>
      <x:c r="N15" s="61" t="n">
        <x:f>IF(OR(H15="",E15=0),"",K15/E15)</x:f>
        <x:v>0.588125</x:v>
      </x:c>
    </x:row>
    <x:row r="16">
      <x:c r="A16" s="28" t="n">
        <x:v>40595</x:v>
      </x:c>
      <x:c r="B16" s="23" t="n">
        <x:v>12</x:v>
      </x:c>
      <x:c r="C16" s="23" t="str">
        <x:v>22423</x:v>
      </x:c>
      <x:c r="D16" s="23" t="str">
        <x:v>REGENCY CAKESTAND 3 TIER</x:v>
      </x:c>
      <x:c r="E16" s="34" t="n">
        <x:v>204</x:v>
      </x:c>
      <x:c r="F16" s="55" t="n">
        <x:v>2529.33</x:v>
      </x:c>
      <x:c r="G16" s="58" t="n">
        <x:f>E15</x:f>
        <x:v>400</x:v>
      </x:c>
      <x:c r="H16" s="58" t="n">
        <x:f>AVERAGE(E12:E15)</x:f>
        <x:v>230</x:v>
      </x:c>
      <x:c r="I16" s="58" t="n">
        <x:f>AVERAGE(E8:E15)</x:f>
        <x:v>214.625</x:v>
      </x:c>
      <x:c r="J16" s="58" t="n">
        <x:f>IF(G16="","",ABS(E16-G16))</x:f>
        <x:v>196</x:v>
      </x:c>
      <x:c r="K16" s="58" t="n">
        <x:f>IF(H16="","",ABS(E16-H16))</x:f>
        <x:v>26</x:v>
      </x:c>
      <x:c r="L16" s="58" t="n">
        <x:f>IF(I16="","",ABS(E16-I16))</x:f>
        <x:v>10.625</x:v>
      </x:c>
      <x:c r="M16" s="23" t="str">
        <x:f>IF(B16&gt;44,"Validation","Training")</x:f>
        <x:v>Training</x:v>
      </x:c>
      <x:c r="N16" s="61" t="n">
        <x:f>IF(OR(H16="",E16=0),"",K16/E16)</x:f>
        <x:v>0.12745098039215685</x:v>
      </x:c>
    </x:row>
    <x:row r="17">
      <x:c r="A17" s="28" t="n">
        <x:v>40602</x:v>
      </x:c>
      <x:c r="B17" s="23" t="n">
        <x:v>13</x:v>
      </x:c>
      <x:c r="C17" s="23" t="str">
        <x:v>22423</x:v>
      </x:c>
      <x:c r="D17" s="23" t="str">
        <x:v>REGENCY CAKESTAND 3 TIER</x:v>
      </x:c>
      <x:c r="E17" s="34" t="n">
        <x:v>349</x:v>
      </x:c>
      <x:c r="F17" s="55" t="n">
        <x:v>4096.8</x:v>
      </x:c>
      <x:c r="G17" s="58" t="n">
        <x:f>E16</x:f>
        <x:v>204</x:v>
      </x:c>
      <x:c r="H17" s="58" t="n">
        <x:f>AVERAGE(E13:E16)</x:f>
        <x:v>223.25</x:v>
      </x:c>
      <x:c r="I17" s="58" t="n">
        <x:f>AVERAGE(E9:E16)</x:f>
        <x:v>240.125</x:v>
      </x:c>
      <x:c r="J17" s="58" t="n">
        <x:f>IF(G17="","",ABS(E17-G17))</x:f>
        <x:v>145</x:v>
      </x:c>
      <x:c r="K17" s="58" t="n">
        <x:f>IF(H17="","",ABS(E17-H17))</x:f>
        <x:v>125.75</x:v>
      </x:c>
      <x:c r="L17" s="58" t="n">
        <x:f>IF(I17="","",ABS(E17-I17))</x:f>
        <x:v>108.875</x:v>
      </x:c>
      <x:c r="M17" s="23" t="str">
        <x:f>IF(B17&gt;44,"Validation","Training")</x:f>
        <x:v>Training</x:v>
      </x:c>
      <x:c r="N17" s="61" t="n">
        <x:f>IF(OR(H17="",E17=0),"",K17/E17)</x:f>
        <x:v>0.36031518624641834</x:v>
      </x:c>
    </x:row>
    <x:row r="18">
      <x:c r="A18" s="28" t="n">
        <x:v>40609</x:v>
      </x:c>
      <x:c r="B18" s="23" t="n">
        <x:v>14</x:v>
      </x:c>
      <x:c r="C18" s="23" t="str">
        <x:v>22423</x:v>
      </x:c>
      <x:c r="D18" s="23" t="str">
        <x:v>REGENCY CAKESTAND 3 TIER</x:v>
      </x:c>
      <x:c r="E18" s="34" t="n">
        <x:v>190</x:v>
      </x:c>
      <x:c r="F18" s="55" t="n">
        <x:v>2616</x:v>
      </x:c>
      <x:c r="G18" s="58" t="n">
        <x:f>E17</x:f>
        <x:v>349</x:v>
      </x:c>
      <x:c r="H18" s="58" t="n">
        <x:f>AVERAGE(E14:E17)</x:f>
        <x:v>273</x:v>
      </x:c>
      <x:c r="I18" s="58" t="n">
        <x:f>AVERAGE(E10:E17)</x:f>
        <x:v>252.375</x:v>
      </x:c>
      <x:c r="J18" s="58" t="n">
        <x:f>IF(G18="","",ABS(E18-G18))</x:f>
        <x:v>159</x:v>
      </x:c>
      <x:c r="K18" s="58" t="n">
        <x:f>IF(H18="","",ABS(E18-H18))</x:f>
        <x:v>83</x:v>
      </x:c>
      <x:c r="L18" s="58" t="n">
        <x:f>IF(I18="","",ABS(E18-I18))</x:f>
        <x:v>62.375</x:v>
      </x:c>
      <x:c r="M18" s="23" t="str">
        <x:f>IF(B18&gt;44,"Validation","Training")</x:f>
        <x:v>Training</x:v>
      </x:c>
      <x:c r="N18" s="61" t="n">
        <x:f>IF(OR(H18="",E18=0),"",K18/E18)</x:f>
        <x:v>0.4368421052631579</x:v>
      </x:c>
    </x:row>
    <x:row r="19">
      <x:c r="A19" s="28" t="n">
        <x:v>40616</x:v>
      </x:c>
      <x:c r="B19" s="23" t="n">
        <x:v>15</x:v>
      </x:c>
      <x:c r="C19" s="23" t="str">
        <x:v>22423</x:v>
      </x:c>
      <x:c r="D19" s="23" t="str">
        <x:v>REGENCY CAKESTAND 3 TIER</x:v>
      </x:c>
      <x:c r="E19" s="34" t="n">
        <x:v>308</x:v>
      </x:c>
      <x:c r="F19" s="55" t="n">
        <x:v>3740.45</x:v>
      </x:c>
      <x:c r="G19" s="58" t="n">
        <x:f>E18</x:f>
        <x:v>190</x:v>
      </x:c>
      <x:c r="H19" s="58" t="n">
        <x:f>AVERAGE(E15:E18)</x:f>
        <x:v>285.75</x:v>
      </x:c>
      <x:c r="I19" s="58" t="n">
        <x:f>AVERAGE(E11:E18)</x:f>
        <x:v>225.25</x:v>
      </x:c>
      <x:c r="J19" s="58" t="n">
        <x:f>IF(G19="","",ABS(E19-G19))</x:f>
        <x:v>118</x:v>
      </x:c>
      <x:c r="K19" s="58" t="n">
        <x:f>IF(H19="","",ABS(E19-H19))</x:f>
        <x:v>22.25</x:v>
      </x:c>
      <x:c r="L19" s="58" t="n">
        <x:f>IF(I19="","",ABS(E19-I19))</x:f>
        <x:v>82.75</x:v>
      </x:c>
      <x:c r="M19" s="23" t="str">
        <x:f>IF(B19&gt;44,"Validation","Training")</x:f>
        <x:v>Training</x:v>
      </x:c>
      <x:c r="N19" s="61" t="n">
        <x:f>IF(OR(H19="",E19=0),"",K19/E19)</x:f>
        <x:v>0.07224025974025974</x:v>
      </x:c>
    </x:row>
    <x:row r="20">
      <x:c r="A20" s="28" t="n">
        <x:v>40623</x:v>
      </x:c>
      <x:c r="B20" s="23" t="n">
        <x:v>16</x:v>
      </x:c>
      <x:c r="C20" s="23" t="str">
        <x:v>22423</x:v>
      </x:c>
      <x:c r="D20" s="23" t="str">
        <x:v>REGENCY CAKESTAND 3 TIER</x:v>
      </x:c>
      <x:c r="E20" s="34" t="n">
        <x:v>329</x:v>
      </x:c>
      <x:c r="F20" s="55" t="n">
        <x:v>4451.82</x:v>
      </x:c>
      <x:c r="G20" s="58" t="n">
        <x:f>E19</x:f>
        <x:v>308</x:v>
      </x:c>
      <x:c r="H20" s="58" t="n">
        <x:f>AVERAGE(E16:E19)</x:f>
        <x:v>262.75</x:v>
      </x:c>
      <x:c r="I20" s="58" t="n">
        <x:f>AVERAGE(E12:E19)</x:f>
        <x:v>246.375</x:v>
      </x:c>
      <x:c r="J20" s="58" t="n">
        <x:f>IF(G20="","",ABS(E20-G20))</x:f>
        <x:v>21</x:v>
      </x:c>
      <x:c r="K20" s="58" t="n">
        <x:f>IF(H20="","",ABS(E20-H20))</x:f>
        <x:v>66.25</x:v>
      </x:c>
      <x:c r="L20" s="58" t="n">
        <x:f>IF(I20="","",ABS(E20-I20))</x:f>
        <x:v>82.625</x:v>
      </x:c>
      <x:c r="M20" s="23" t="str">
        <x:f>IF(B20&gt;44,"Validation","Training")</x:f>
        <x:v>Training</x:v>
      </x:c>
      <x:c r="N20" s="61" t="n">
        <x:f>IF(OR(H20="",E20=0),"",K20/E20)</x:f>
        <x:v>0.2013677811550152</x:v>
      </x:c>
    </x:row>
    <x:row r="21">
      <x:c r="A21" s="28" t="n">
        <x:v>40630</x:v>
      </x:c>
      <x:c r="B21" s="23" t="n">
        <x:v>17</x:v>
      </x:c>
      <x:c r="C21" s="23" t="str">
        <x:v>22423</x:v>
      </x:c>
      <x:c r="D21" s="23" t="str">
        <x:v>REGENCY CAKESTAND 3 TIER</x:v>
      </x:c>
      <x:c r="E21" s="34" t="n">
        <x:v>334</x:v>
      </x:c>
      <x:c r="F21" s="55" t="n">
        <x:v>4189.3</x:v>
      </x:c>
      <x:c r="G21" s="58" t="n">
        <x:f>E20</x:f>
        <x:v>329</x:v>
      </x:c>
      <x:c r="H21" s="58" t="n">
        <x:f>AVERAGE(E17:E20)</x:f>
        <x:v>294</x:v>
      </x:c>
      <x:c r="I21" s="58" t="n">
        <x:f>AVERAGE(E13:E20)</x:f>
        <x:v>258.625</x:v>
      </x:c>
      <x:c r="J21" s="58" t="n">
        <x:f>IF(G21="","",ABS(E21-G21))</x:f>
        <x:v>5</x:v>
      </x:c>
      <x:c r="K21" s="58" t="n">
        <x:f>IF(H21="","",ABS(E21-H21))</x:f>
        <x:v>40</x:v>
      </x:c>
      <x:c r="L21" s="58" t="n">
        <x:f>IF(I21="","",ABS(E21-I21))</x:f>
        <x:v>75.375</x:v>
      </x:c>
      <x:c r="M21" s="23" t="str">
        <x:f>IF(B21&gt;44,"Validation","Training")</x:f>
        <x:v>Training</x:v>
      </x:c>
      <x:c r="N21" s="61" t="n">
        <x:f>IF(OR(H21="",E21=0),"",K21/E21)</x:f>
        <x:v>0.11976047904191617</x:v>
      </x:c>
    </x:row>
    <x:row r="22">
      <x:c r="A22" s="28" t="n">
        <x:v>40637</x:v>
      </x:c>
      <x:c r="B22" s="23" t="n">
        <x:v>18</x:v>
      </x:c>
      <x:c r="C22" s="23" t="str">
        <x:v>22423</x:v>
      </x:c>
      <x:c r="D22" s="23" t="str">
        <x:v>REGENCY CAKESTAND 3 TIER</x:v>
      </x:c>
      <x:c r="E22" s="34" t="n">
        <x:v>282</x:v>
      </x:c>
      <x:c r="F22" s="55" t="n">
        <x:v>3655.95</x:v>
      </x:c>
      <x:c r="G22" s="58" t="n">
        <x:f>E21</x:f>
        <x:v>334</x:v>
      </x:c>
      <x:c r="H22" s="58" t="n">
        <x:f>AVERAGE(E18:E21)</x:f>
        <x:v>290.25</x:v>
      </x:c>
      <x:c r="I22" s="58" t="n">
        <x:f>AVERAGE(E14:E21)</x:f>
        <x:v>281.625</x:v>
      </x:c>
      <x:c r="J22" s="58" t="n">
        <x:f>IF(G22="","",ABS(E22-G22))</x:f>
        <x:v>52</x:v>
      </x:c>
      <x:c r="K22" s="58" t="n">
        <x:f>IF(H22="","",ABS(E22-H22))</x:f>
        <x:v>8.25</x:v>
      </x:c>
      <x:c r="L22" s="58" t="n">
        <x:f>IF(I22="","",ABS(E22-I22))</x:f>
        <x:v>0.375</x:v>
      </x:c>
      <x:c r="M22" s="23" t="str">
        <x:f>IF(B22&gt;44,"Validation","Training")</x:f>
        <x:v>Training</x:v>
      </x:c>
      <x:c r="N22" s="61" t="n">
        <x:f>IF(OR(H22="",E22=0),"",K22/E22)</x:f>
        <x:v>0.02925531914893617</x:v>
      </x:c>
    </x:row>
    <x:row r="23">
      <x:c r="A23" s="28" t="n">
        <x:v>40644</x:v>
      </x:c>
      <x:c r="B23" s="23" t="n">
        <x:v>19</x:v>
      </x:c>
      <x:c r="C23" s="23" t="str">
        <x:v>22423</x:v>
      </x:c>
      <x:c r="D23" s="23" t="str">
        <x:v>REGENCY CAKESTAND 3 TIER</x:v>
      </x:c>
      <x:c r="E23" s="34" t="n">
        <x:v>366</x:v>
      </x:c>
      <x:c r="F23" s="55" t="n">
        <x:v>4422.03</x:v>
      </x:c>
      <x:c r="G23" s="58" t="n">
        <x:f>E22</x:f>
        <x:v>282</x:v>
      </x:c>
      <x:c r="H23" s="58" t="n">
        <x:f>AVERAGE(E19:E22)</x:f>
        <x:v>313.25</x:v>
      </x:c>
      <x:c r="I23" s="58" t="n">
        <x:f>AVERAGE(E15:E22)</x:f>
        <x:v>299.5</x:v>
      </x:c>
      <x:c r="J23" s="58" t="n">
        <x:f>IF(G23="","",ABS(E23-G23))</x:f>
        <x:v>84</x:v>
      </x:c>
      <x:c r="K23" s="58" t="n">
        <x:f>IF(H23="","",ABS(E23-H23))</x:f>
        <x:v>52.75</x:v>
      </x:c>
      <x:c r="L23" s="58" t="n">
        <x:f>IF(I23="","",ABS(E23-I23))</x:f>
        <x:v>66.5</x:v>
      </x:c>
      <x:c r="M23" s="23" t="str">
        <x:f>IF(B23&gt;44,"Validation","Training")</x:f>
        <x:v>Training</x:v>
      </x:c>
      <x:c r="N23" s="61" t="n">
        <x:f>IF(OR(H23="",E23=0),"",K23/E23)</x:f>
        <x:v>0.14412568306010928</x:v>
      </x:c>
    </x:row>
    <x:row r="24">
      <x:c r="A24" s="28" t="n">
        <x:v>40651</x:v>
      </x:c>
      <x:c r="B24" s="23" t="n">
        <x:v>20</x:v>
      </x:c>
      <x:c r="C24" s="23" t="str">
        <x:v>22423</x:v>
      </x:c>
      <x:c r="D24" s="23" t="str">
        <x:v>REGENCY CAKESTAND 3 TIER</x:v>
      </x:c>
      <x:c r="E24" s="34" t="n">
        <x:v>186</x:v>
      </x:c>
      <x:c r="F24" s="55" t="n">
        <x:v>2500.5</x:v>
      </x:c>
      <x:c r="G24" s="58" t="n">
        <x:f>E23</x:f>
        <x:v>366</x:v>
      </x:c>
      <x:c r="H24" s="58" t="n">
        <x:f>AVERAGE(E20:E23)</x:f>
        <x:v>327.75</x:v>
      </x:c>
      <x:c r="I24" s="58" t="n">
        <x:f>AVERAGE(E16:E23)</x:f>
        <x:v>295.25</x:v>
      </x:c>
      <x:c r="J24" s="58" t="n">
        <x:f>IF(G24="","",ABS(E24-G24))</x:f>
        <x:v>180</x:v>
      </x:c>
      <x:c r="K24" s="58" t="n">
        <x:f>IF(H24="","",ABS(E24-H24))</x:f>
        <x:v>141.75</x:v>
      </x:c>
      <x:c r="L24" s="58" t="n">
        <x:f>IF(I24="","",ABS(E24-I24))</x:f>
        <x:v>109.25</x:v>
      </x:c>
      <x:c r="M24" s="23" t="str">
        <x:f>IF(B24&gt;44,"Validation","Training")</x:f>
        <x:v>Training</x:v>
      </x:c>
      <x:c r="N24" s="61" t="n">
        <x:f>IF(OR(H24="",E24=0),"",K24/E24)</x:f>
        <x:v>0.7620967741935484</x:v>
      </x:c>
    </x:row>
    <x:row r="25">
      <x:c r="A25" s="28" t="n">
        <x:v>40658</x:v>
      </x:c>
      <x:c r="B25" s="23" t="n">
        <x:v>21</x:v>
      </x:c>
      <x:c r="C25" s="23" t="str">
        <x:v>22423</x:v>
      </x:c>
      <x:c r="D25" s="23" t="str">
        <x:v>REGENCY CAKESTAND 3 TIER</x:v>
      </x:c>
      <x:c r="E25" s="34" t="n">
        <x:v>325</x:v>
      </x:c>
      <x:c r="F25" s="55" t="n">
        <x:v>3804.27</x:v>
      </x:c>
      <x:c r="G25" s="58" t="n">
        <x:f>E24</x:f>
        <x:v>186</x:v>
      </x:c>
      <x:c r="H25" s="58" t="n">
        <x:f>AVERAGE(E21:E24)</x:f>
        <x:v>292</x:v>
      </x:c>
      <x:c r="I25" s="58" t="n">
        <x:f>AVERAGE(E17:E24)</x:f>
        <x:v>293</x:v>
      </x:c>
      <x:c r="J25" s="58" t="n">
        <x:f>IF(G25="","",ABS(E25-G25))</x:f>
        <x:v>139</x:v>
      </x:c>
      <x:c r="K25" s="58" t="n">
        <x:f>IF(H25="","",ABS(E25-H25))</x:f>
        <x:v>33</x:v>
      </x:c>
      <x:c r="L25" s="58" t="n">
        <x:f>IF(I25="","",ABS(E25-I25))</x:f>
        <x:v>32</x:v>
      </x:c>
      <x:c r="M25" s="23" t="str">
        <x:f>IF(B25&gt;44,"Validation","Training")</x:f>
        <x:v>Training</x:v>
      </x:c>
      <x:c r="N25" s="61" t="n">
        <x:f>IF(OR(H25="",E25=0),"",K25/E25)</x:f>
        <x:v>0.10153846153846154</x:v>
      </x:c>
    </x:row>
    <x:row r="26">
      <x:c r="A26" s="28" t="n">
        <x:v>40665</x:v>
      </x:c>
      <x:c r="B26" s="23" t="n">
        <x:v>22</x:v>
      </x:c>
      <x:c r="C26" s="23" t="str">
        <x:v>22423</x:v>
      </x:c>
      <x:c r="D26" s="23" t="str">
        <x:v>REGENCY CAKESTAND 3 TIER</x:v>
      </x:c>
      <x:c r="E26" s="34" t="n">
        <x:v>171</x:v>
      </x:c>
      <x:c r="F26" s="55" t="n">
        <x:v>2115.3</x:v>
      </x:c>
      <x:c r="G26" s="58" t="n">
        <x:f>E25</x:f>
        <x:v>325</x:v>
      </x:c>
      <x:c r="H26" s="58" t="n">
        <x:f>AVERAGE(E22:E25)</x:f>
        <x:v>289.75</x:v>
      </x:c>
      <x:c r="I26" s="58" t="n">
        <x:f>AVERAGE(E18:E25)</x:f>
        <x:v>290</x:v>
      </x:c>
      <x:c r="J26" s="58" t="n">
        <x:f>IF(G26="","",ABS(E26-G26))</x:f>
        <x:v>154</x:v>
      </x:c>
      <x:c r="K26" s="58" t="n">
        <x:f>IF(H26="","",ABS(E26-H26))</x:f>
        <x:v>118.75</x:v>
      </x:c>
      <x:c r="L26" s="58" t="n">
        <x:f>IF(I26="","",ABS(E26-I26))</x:f>
        <x:v>119</x:v>
      </x:c>
      <x:c r="M26" s="23" t="str">
        <x:f>IF(B26&gt;44,"Validation","Training")</x:f>
        <x:v>Training</x:v>
      </x:c>
      <x:c r="N26" s="61" t="n">
        <x:f>IF(OR(H26="",E26=0),"",K26/E26)</x:f>
        <x:v>0.6944444444444444</x:v>
      </x:c>
    </x:row>
    <x:row r="27">
      <x:c r="A27" s="28" t="n">
        <x:v>40672</x:v>
      </x:c>
      <x:c r="B27" s="23" t="n">
        <x:v>23</x:v>
      </x:c>
      <x:c r="C27" s="23" t="str">
        <x:v>22423</x:v>
      </x:c>
      <x:c r="D27" s="23" t="str">
        <x:v>REGENCY CAKESTAND 3 TIER</x:v>
      </x:c>
      <x:c r="E27" s="34" t="n">
        <x:v>366</x:v>
      </x:c>
      <x:c r="F27" s="55" t="n">
        <x:v>4290.54</x:v>
      </x:c>
      <x:c r="G27" s="58" t="n">
        <x:f>E26</x:f>
        <x:v>171</x:v>
      </x:c>
      <x:c r="H27" s="58" t="n">
        <x:f>AVERAGE(E23:E26)</x:f>
        <x:v>262</x:v>
      </x:c>
      <x:c r="I27" s="58" t="n">
        <x:f>AVERAGE(E19:E26)</x:f>
        <x:v>287.625</x:v>
      </x:c>
      <x:c r="J27" s="58" t="n">
        <x:f>IF(G27="","",ABS(E27-G27))</x:f>
        <x:v>195</x:v>
      </x:c>
      <x:c r="K27" s="58" t="n">
        <x:f>IF(H27="","",ABS(E27-H27))</x:f>
        <x:v>104</x:v>
      </x:c>
      <x:c r="L27" s="58" t="n">
        <x:f>IF(I27="","",ABS(E27-I27))</x:f>
        <x:v>78.375</x:v>
      </x:c>
      <x:c r="M27" s="23" t="str">
        <x:f>IF(B27&gt;44,"Validation","Training")</x:f>
        <x:v>Training</x:v>
      </x:c>
      <x:c r="N27" s="61" t="n">
        <x:f>IF(OR(H27="",E27=0),"",K27/E27)</x:f>
        <x:v>0.28415300546448086</x:v>
      </x:c>
    </x:row>
    <x:row r="28">
      <x:c r="A28" s="28" t="n">
        <x:v>40679</x:v>
      </x:c>
      <x:c r="B28" s="23" t="n">
        <x:v>24</x:v>
      </x:c>
      <x:c r="C28" s="23" t="str">
        <x:v>22423</x:v>
      </x:c>
      <x:c r="D28" s="23" t="str">
        <x:v>REGENCY CAKESTAND 3 TIER</x:v>
      </x:c>
      <x:c r="E28" s="34" t="n">
        <x:v>307</x:v>
      </x:c>
      <x:c r="F28" s="55" t="n">
        <x:v>3532.3</x:v>
      </x:c>
      <x:c r="G28" s="58" t="n">
        <x:f>E27</x:f>
        <x:v>366</x:v>
      </x:c>
      <x:c r="H28" s="58" t="n">
        <x:f>AVERAGE(E24:E27)</x:f>
        <x:v>262</x:v>
      </x:c>
      <x:c r="I28" s="58" t="n">
        <x:f>AVERAGE(E20:E27)</x:f>
        <x:v>294.875</x:v>
      </x:c>
      <x:c r="J28" s="58" t="n">
        <x:f>IF(G28="","",ABS(E28-G28))</x:f>
        <x:v>59</x:v>
      </x:c>
      <x:c r="K28" s="58" t="n">
        <x:f>IF(H28="","",ABS(E28-H28))</x:f>
        <x:v>45</x:v>
      </x:c>
      <x:c r="L28" s="58" t="n">
        <x:f>IF(I28="","",ABS(E28-I28))</x:f>
        <x:v>12.125</x:v>
      </x:c>
      <x:c r="M28" s="23" t="str">
        <x:f>IF(B28&gt;44,"Validation","Training")</x:f>
        <x:v>Training</x:v>
      </x:c>
      <x:c r="N28" s="61" t="n">
        <x:f>IF(OR(H28="",E28=0),"",K28/E28)</x:f>
        <x:v>0.1465798045602606</x:v>
      </x:c>
    </x:row>
    <x:row r="29">
      <x:c r="A29" s="28" t="n">
        <x:v>40686</x:v>
      </x:c>
      <x:c r="B29" s="23" t="n">
        <x:v>25</x:v>
      </x:c>
      <x:c r="C29" s="23" t="str">
        <x:v>22423</x:v>
      </x:c>
      <x:c r="D29" s="23" t="str">
        <x:v>REGENCY CAKESTAND 3 TIER</x:v>
      </x:c>
      <x:c r="E29" s="34" t="n">
        <x:v>169</x:v>
      </x:c>
      <x:c r="F29" s="55" t="n">
        <x:v>2116.26</x:v>
      </x:c>
      <x:c r="G29" s="58" t="n">
        <x:f>E28</x:f>
        <x:v>307</x:v>
      </x:c>
      <x:c r="H29" s="58" t="n">
        <x:f>AVERAGE(E25:E28)</x:f>
        <x:v>292.25</x:v>
      </x:c>
      <x:c r="I29" s="58" t="n">
        <x:f>AVERAGE(E21:E28)</x:f>
        <x:v>292.125</x:v>
      </x:c>
      <x:c r="J29" s="58" t="n">
        <x:f>IF(G29="","",ABS(E29-G29))</x:f>
        <x:v>138</x:v>
      </x:c>
      <x:c r="K29" s="58" t="n">
        <x:f>IF(H29="","",ABS(E29-H29))</x:f>
        <x:v>123.25</x:v>
      </x:c>
      <x:c r="L29" s="58" t="n">
        <x:f>IF(I29="","",ABS(E29-I29))</x:f>
        <x:v>123.125</x:v>
      </x:c>
      <x:c r="M29" s="23" t="str">
        <x:f>IF(B29&gt;44,"Validation","Training")</x:f>
        <x:v>Training</x:v>
      </x:c>
      <x:c r="N29" s="61" t="n">
        <x:f>IF(OR(H29="",E29=0),"",K29/E29)</x:f>
        <x:v>0.7292899408284024</x:v>
      </x:c>
    </x:row>
    <x:row r="30">
      <x:c r="A30" s="28" t="n">
        <x:v>40693</x:v>
      </x:c>
      <x:c r="B30" s="23" t="n">
        <x:v>26</x:v>
      </x:c>
      <x:c r="C30" s="23" t="str">
        <x:v>22423</x:v>
      </x:c>
      <x:c r="D30" s="23" t="str">
        <x:v>REGENCY CAKESTAND 3 TIER</x:v>
      </x:c>
      <x:c r="E30" s="34" t="n">
        <x:v>263</x:v>
      </x:c>
      <x:c r="F30" s="55" t="n">
        <x:v>3041.7</x:v>
      </x:c>
      <x:c r="G30" s="58" t="n">
        <x:f>E29</x:f>
        <x:v>169</x:v>
      </x:c>
      <x:c r="H30" s="58" t="n">
        <x:f>AVERAGE(E26:E29)</x:f>
        <x:v>253.25</x:v>
      </x:c>
      <x:c r="I30" s="58" t="n">
        <x:f>AVERAGE(E22:E29)</x:f>
        <x:v>271.5</x:v>
      </x:c>
      <x:c r="J30" s="58" t="n">
        <x:f>IF(G30="","",ABS(E30-G30))</x:f>
        <x:v>94</x:v>
      </x:c>
      <x:c r="K30" s="58" t="n">
        <x:f>IF(H30="","",ABS(E30-H30))</x:f>
        <x:v>9.75</x:v>
      </x:c>
      <x:c r="L30" s="58" t="n">
        <x:f>IF(I30="","",ABS(E30-I30))</x:f>
        <x:v>8.5</x:v>
      </x:c>
      <x:c r="M30" s="23" t="str">
        <x:f>IF(B30&gt;44,"Validation","Training")</x:f>
        <x:v>Training</x:v>
      </x:c>
      <x:c r="N30" s="61" t="n">
        <x:f>IF(OR(H30="",E30=0),"",K30/E30)</x:f>
        <x:v>0.0370722433460076</x:v>
      </x:c>
    </x:row>
    <x:row r="31">
      <x:c r="A31" s="28" t="n">
        <x:v>40700</x:v>
      </x:c>
      <x:c r="B31" s="23" t="n">
        <x:v>27</x:v>
      </x:c>
      <x:c r="C31" s="23" t="str">
        <x:v>22423</x:v>
      </x:c>
      <x:c r="D31" s="23" t="str">
        <x:v>REGENCY CAKESTAND 3 TIER</x:v>
      </x:c>
      <x:c r="E31" s="34" t="n">
        <x:v>208</x:v>
      </x:c>
      <x:c r="F31" s="55" t="n">
        <x:v>2711.19</x:v>
      </x:c>
      <x:c r="G31" s="58" t="n">
        <x:f>E30</x:f>
        <x:v>263</x:v>
      </x:c>
      <x:c r="H31" s="58" t="n">
        <x:f>AVERAGE(E27:E30)</x:f>
        <x:v>276.25</x:v>
      </x:c>
      <x:c r="I31" s="58" t="n">
        <x:f>AVERAGE(E23:E30)</x:f>
        <x:v>269.125</x:v>
      </x:c>
      <x:c r="J31" s="58" t="n">
        <x:f>IF(G31="","",ABS(E31-G31))</x:f>
        <x:v>55</x:v>
      </x:c>
      <x:c r="K31" s="58" t="n">
        <x:f>IF(H31="","",ABS(E31-H31))</x:f>
        <x:v>68.25</x:v>
      </x:c>
      <x:c r="L31" s="58" t="n">
        <x:f>IF(I31="","",ABS(E31-I31))</x:f>
        <x:v>61.125</x:v>
      </x:c>
      <x:c r="M31" s="23" t="str">
        <x:f>IF(B31&gt;44,"Validation","Training")</x:f>
        <x:v>Training</x:v>
      </x:c>
      <x:c r="N31" s="61" t="n">
        <x:f>IF(OR(H31="",E31=0),"",K31/E31)</x:f>
        <x:v>0.328125</x:v>
      </x:c>
    </x:row>
    <x:row r="32">
      <x:c r="A32" s="28" t="n">
        <x:v>40707</x:v>
      </x:c>
      <x:c r="B32" s="23" t="n">
        <x:v>28</x:v>
      </x:c>
      <x:c r="C32" s="23" t="str">
        <x:v>22423</x:v>
      </x:c>
      <x:c r="D32" s="23" t="str">
        <x:v>REGENCY CAKESTAND 3 TIER</x:v>
      </x:c>
      <x:c r="E32" s="34" t="n">
        <x:v>174</x:v>
      </x:c>
      <x:c r="F32" s="55" t="n">
        <x:v>2094.7</x:v>
      </x:c>
      <x:c r="G32" s="58" t="n">
        <x:f>E31</x:f>
        <x:v>208</x:v>
      </x:c>
      <x:c r="H32" s="58" t="n">
        <x:f>AVERAGE(E28:E31)</x:f>
        <x:v>236.75</x:v>
      </x:c>
      <x:c r="I32" s="58" t="n">
        <x:f>AVERAGE(E24:E31)</x:f>
        <x:v>249.375</x:v>
      </x:c>
      <x:c r="J32" s="58" t="n">
        <x:f>IF(G32="","",ABS(E32-G32))</x:f>
        <x:v>34</x:v>
      </x:c>
      <x:c r="K32" s="58" t="n">
        <x:f>IF(H32="","",ABS(E32-H32))</x:f>
        <x:v>62.75</x:v>
      </x:c>
      <x:c r="L32" s="58" t="n">
        <x:f>IF(I32="","",ABS(E32-I32))</x:f>
        <x:v>75.375</x:v>
      </x:c>
      <x:c r="M32" s="23" t="str">
        <x:f>IF(B32&gt;44,"Validation","Training")</x:f>
        <x:v>Training</x:v>
      </x:c>
      <x:c r="N32" s="61" t="n">
        <x:f>IF(OR(H32="",E32=0),"",K32/E32)</x:f>
        <x:v>0.36063218390804597</x:v>
      </x:c>
    </x:row>
    <x:row r="33">
      <x:c r="A33" s="28" t="n">
        <x:v>40714</x:v>
      </x:c>
      <x:c r="B33" s="23" t="n">
        <x:v>29</x:v>
      </x:c>
      <x:c r="C33" s="23" t="str">
        <x:v>22423</x:v>
      </x:c>
      <x:c r="D33" s="23" t="str">
        <x:v>REGENCY CAKESTAND 3 TIER</x:v>
      </x:c>
      <x:c r="E33" s="34" t="n">
        <x:v>143</x:v>
      </x:c>
      <x:c r="F33" s="55" t="n">
        <x:v>1769.1</x:v>
      </x:c>
      <x:c r="G33" s="58" t="n">
        <x:f>E32</x:f>
        <x:v>174</x:v>
      </x:c>
      <x:c r="H33" s="58" t="n">
        <x:f>AVERAGE(E29:E32)</x:f>
        <x:v>203.5</x:v>
      </x:c>
      <x:c r="I33" s="58" t="n">
        <x:f>AVERAGE(E25:E32)</x:f>
        <x:v>247.875</x:v>
      </x:c>
      <x:c r="J33" s="58" t="n">
        <x:f>IF(G33="","",ABS(E33-G33))</x:f>
        <x:v>31</x:v>
      </x:c>
      <x:c r="K33" s="58" t="n">
        <x:f>IF(H33="","",ABS(E33-H33))</x:f>
        <x:v>60.5</x:v>
      </x:c>
      <x:c r="L33" s="58" t="n">
        <x:f>IF(I33="","",ABS(E33-I33))</x:f>
        <x:v>104.875</x:v>
      </x:c>
      <x:c r="M33" s="23" t="str">
        <x:f>IF(B33&gt;44,"Validation","Training")</x:f>
        <x:v>Training</x:v>
      </x:c>
      <x:c r="N33" s="61" t="n">
        <x:f>IF(OR(H33="",E33=0),"",K33/E33)</x:f>
        <x:v>0.4230769230769231</x:v>
      </x:c>
    </x:row>
    <x:row r="34">
      <x:c r="A34" s="28" t="n">
        <x:v>40721</x:v>
      </x:c>
      <x:c r="B34" s="23" t="n">
        <x:v>30</x:v>
      </x:c>
      <x:c r="C34" s="23" t="str">
        <x:v>22423</x:v>
      </x:c>
      <x:c r="D34" s="23" t="str">
        <x:v>REGENCY CAKESTAND 3 TIER</x:v>
      </x:c>
      <x:c r="E34" s="34" t="n">
        <x:v>85</x:v>
      </x:c>
      <x:c r="F34" s="55" t="n">
        <x:v>1172.67</x:v>
      </x:c>
      <x:c r="G34" s="58" t="n">
        <x:f>E33</x:f>
        <x:v>143</x:v>
      </x:c>
      <x:c r="H34" s="58" t="n">
        <x:f>AVERAGE(E30:E33)</x:f>
        <x:v>197</x:v>
      </x:c>
      <x:c r="I34" s="58" t="n">
        <x:f>AVERAGE(E26:E33)</x:f>
        <x:v>225.125</x:v>
      </x:c>
      <x:c r="J34" s="58" t="n">
        <x:f>IF(G34="","",ABS(E34-G34))</x:f>
        <x:v>58</x:v>
      </x:c>
      <x:c r="K34" s="58" t="n">
        <x:f>IF(H34="","",ABS(E34-H34))</x:f>
        <x:v>112</x:v>
      </x:c>
      <x:c r="L34" s="58" t="n">
        <x:f>IF(I34="","",ABS(E34-I34))</x:f>
        <x:v>140.125</x:v>
      </x:c>
      <x:c r="M34" s="23" t="str">
        <x:f>IF(B34&gt;44,"Validation","Training")</x:f>
        <x:v>Training</x:v>
      </x:c>
      <x:c r="N34" s="61" t="n">
        <x:f>IF(OR(H34="",E34=0),"",K34/E34)</x:f>
        <x:v>1.3176470588235294</x:v>
      </x:c>
    </x:row>
    <x:row r="35">
      <x:c r="A35" s="28" t="n">
        <x:v>40728</x:v>
      </x:c>
      <x:c r="B35" s="23" t="n">
        <x:v>31</x:v>
      </x:c>
      <x:c r="C35" s="23" t="str">
        <x:v>22423</x:v>
      </x:c>
      <x:c r="D35" s="23" t="str">
        <x:v>REGENCY CAKESTAND 3 TIER</x:v>
      </x:c>
      <x:c r="E35" s="34" t="n">
        <x:v>131</x:v>
      </x:c>
      <x:c r="F35" s="55" t="n">
        <x:v>2015.58</x:v>
      </x:c>
      <x:c r="G35" s="58" t="n">
        <x:f>E34</x:f>
        <x:v>85</x:v>
      </x:c>
      <x:c r="H35" s="58" t="n">
        <x:f>AVERAGE(E31:E34)</x:f>
        <x:v>152.5</x:v>
      </x:c>
      <x:c r="I35" s="58" t="n">
        <x:f>AVERAGE(E27:E34)</x:f>
        <x:v>214.375</x:v>
      </x:c>
      <x:c r="J35" s="58" t="n">
        <x:f>IF(G35="","",ABS(E35-G35))</x:f>
        <x:v>46</x:v>
      </x:c>
      <x:c r="K35" s="58" t="n">
        <x:f>IF(H35="","",ABS(E35-H35))</x:f>
        <x:v>21.5</x:v>
      </x:c>
      <x:c r="L35" s="58" t="n">
        <x:f>IF(I35="","",ABS(E35-I35))</x:f>
        <x:v>83.375</x:v>
      </x:c>
      <x:c r="M35" s="23" t="str">
        <x:f>IF(B35&gt;44,"Validation","Training")</x:f>
        <x:v>Training</x:v>
      </x:c>
      <x:c r="N35" s="61" t="n">
        <x:f>IF(OR(H35="",E35=0),"",K35/E35)</x:f>
        <x:v>0.16412213740458015</x:v>
      </x:c>
    </x:row>
    <x:row r="36">
      <x:c r="A36" s="28" t="n">
        <x:v>40735</x:v>
      </x:c>
      <x:c r="B36" s="23" t="n">
        <x:v>32</x:v>
      </x:c>
      <x:c r="C36" s="23" t="str">
        <x:v>22423</x:v>
      </x:c>
      <x:c r="D36" s="23" t="str">
        <x:v>REGENCY CAKESTAND 3 TIER</x:v>
      </x:c>
      <x:c r="E36" s="34" t="n">
        <x:v>292</x:v>
      </x:c>
      <x:c r="F36" s="55" t="n">
        <x:v>3441.9</x:v>
      </x:c>
      <x:c r="G36" s="58" t="n">
        <x:f>E35</x:f>
        <x:v>131</x:v>
      </x:c>
      <x:c r="H36" s="58" t="n">
        <x:f>AVERAGE(E32:E35)</x:f>
        <x:v>133.25</x:v>
      </x:c>
      <x:c r="I36" s="58" t="n">
        <x:f>AVERAGE(E28:E35)</x:f>
        <x:v>185</x:v>
      </x:c>
      <x:c r="J36" s="58" t="n">
        <x:f>IF(G36="","",ABS(E36-G36))</x:f>
        <x:v>161</x:v>
      </x:c>
      <x:c r="K36" s="58" t="n">
        <x:f>IF(H36="","",ABS(E36-H36))</x:f>
        <x:v>158.75</x:v>
      </x:c>
      <x:c r="L36" s="58" t="n">
        <x:f>IF(I36="","",ABS(E36-I36))</x:f>
        <x:v>107</x:v>
      </x:c>
      <x:c r="M36" s="23" t="str">
        <x:f>IF(B36&gt;44,"Validation","Training")</x:f>
        <x:v>Training</x:v>
      </x:c>
      <x:c r="N36" s="61" t="n">
        <x:f>IF(OR(H36="",E36=0),"",K36/E36)</x:f>
        <x:v>0.5436643835616438</x:v>
      </x:c>
    </x:row>
    <x:row r="37">
      <x:c r="A37" s="28" t="n">
        <x:v>40742</x:v>
      </x:c>
      <x:c r="B37" s="23" t="n">
        <x:v>33</x:v>
      </x:c>
      <x:c r="C37" s="23" t="str">
        <x:v>22423</x:v>
      </x:c>
      <x:c r="D37" s="23" t="str">
        <x:v>REGENCY CAKESTAND 3 TIER</x:v>
      </x:c>
      <x:c r="E37" s="34" t="n">
        <x:v>341</x:v>
      </x:c>
      <x:c r="F37" s="55" t="n">
        <x:v>4069.32</x:v>
      </x:c>
      <x:c r="G37" s="58" t="n">
        <x:f>E36</x:f>
        <x:v>292</x:v>
      </x:c>
      <x:c r="H37" s="58" t="n">
        <x:f>AVERAGE(E33:E36)</x:f>
        <x:v>162.75</x:v>
      </x:c>
      <x:c r="I37" s="58" t="n">
        <x:f>AVERAGE(E29:E36)</x:f>
        <x:v>183.125</x:v>
      </x:c>
      <x:c r="J37" s="58" t="n">
        <x:f>IF(G37="","",ABS(E37-G37))</x:f>
        <x:v>49</x:v>
      </x:c>
      <x:c r="K37" s="58" t="n">
        <x:f>IF(H37="","",ABS(E37-H37))</x:f>
        <x:v>178.25</x:v>
      </x:c>
      <x:c r="L37" s="58" t="n">
        <x:f>IF(I37="","",ABS(E37-I37))</x:f>
        <x:v>157.875</x:v>
      </x:c>
      <x:c r="M37" s="23" t="str">
        <x:f>IF(B37&gt;44,"Validation","Training")</x:f>
        <x:v>Training</x:v>
      </x:c>
      <x:c r="N37" s="61" t="n">
        <x:f>IF(OR(H37="",E37=0),"",K37/E37)</x:f>
        <x:v>0.5227272727272727</x:v>
      </x:c>
    </x:row>
    <x:row r="38">
      <x:c r="A38" s="28" t="n">
        <x:v>40749</x:v>
      </x:c>
      <x:c r="B38" s="23" t="n">
        <x:v>34</x:v>
      </x:c>
      <x:c r="C38" s="23" t="str">
        <x:v>22423</x:v>
      </x:c>
      <x:c r="D38" s="23" t="str">
        <x:v>REGENCY CAKESTAND 3 TIER</x:v>
      </x:c>
      <x:c r="E38" s="34" t="n">
        <x:v>342</x:v>
      </x:c>
      <x:c r="F38" s="55" t="n">
        <x:v>3944.16</x:v>
      </x:c>
      <x:c r="G38" s="58" t="n">
        <x:f>E37</x:f>
        <x:v>341</x:v>
      </x:c>
      <x:c r="H38" s="58" t="n">
        <x:f>AVERAGE(E34:E37)</x:f>
        <x:v>212.25</x:v>
      </x:c>
      <x:c r="I38" s="58" t="n">
        <x:f>AVERAGE(E30:E37)</x:f>
        <x:v>204.625</x:v>
      </x:c>
      <x:c r="J38" s="58" t="n">
        <x:f>IF(G38="","",ABS(E38-G38))</x:f>
        <x:v>1</x:v>
      </x:c>
      <x:c r="K38" s="58" t="n">
        <x:f>IF(H38="","",ABS(E38-H38))</x:f>
        <x:v>129.75</x:v>
      </x:c>
      <x:c r="L38" s="58" t="n">
        <x:f>IF(I38="","",ABS(E38-I38))</x:f>
        <x:v>137.375</x:v>
      </x:c>
      <x:c r="M38" s="23" t="str">
        <x:f>IF(B38&gt;44,"Validation","Training")</x:f>
        <x:v>Training</x:v>
      </x:c>
      <x:c r="N38" s="61" t="n">
        <x:f>IF(OR(H38="",E38=0),"",K38/E38)</x:f>
        <x:v>0.3793859649122807</x:v>
      </x:c>
    </x:row>
    <x:row r="39">
      <x:c r="A39" s="28" t="n">
        <x:v>40756</x:v>
      </x:c>
      <x:c r="B39" s="23" t="n">
        <x:v>35</x:v>
      </x:c>
      <x:c r="C39" s="23" t="str">
        <x:v>22423</x:v>
      </x:c>
      <x:c r="D39" s="23" t="str">
        <x:v>REGENCY CAKESTAND 3 TIER</x:v>
      </x:c>
      <x:c r="E39" s="34" t="n">
        <x:v>180</x:v>
      </x:c>
      <x:c r="F39" s="55" t="n">
        <x:v>2308.95</x:v>
      </x:c>
      <x:c r="G39" s="58" t="n">
        <x:f>E38</x:f>
        <x:v>342</x:v>
      </x:c>
      <x:c r="H39" s="58" t="n">
        <x:f>AVERAGE(E35:E38)</x:f>
        <x:v>276.5</x:v>
      </x:c>
      <x:c r="I39" s="58" t="n">
        <x:f>AVERAGE(E31:E38)</x:f>
        <x:v>214.5</x:v>
      </x:c>
      <x:c r="J39" s="58" t="n">
        <x:f>IF(G39="","",ABS(E39-G39))</x:f>
        <x:v>162</x:v>
      </x:c>
      <x:c r="K39" s="58" t="n">
        <x:f>IF(H39="","",ABS(E39-H39))</x:f>
        <x:v>96.5</x:v>
      </x:c>
      <x:c r="L39" s="58" t="n">
        <x:f>IF(I39="","",ABS(E39-I39))</x:f>
        <x:v>34.5</x:v>
      </x:c>
      <x:c r="M39" s="23" t="str">
        <x:f>IF(B39&gt;44,"Validation","Training")</x:f>
        <x:v>Training</x:v>
      </x:c>
      <x:c r="N39" s="61" t="n">
        <x:f>IF(OR(H39="",E39=0),"",K39/E39)</x:f>
        <x:v>0.5361111111111111</x:v>
      </x:c>
    </x:row>
    <x:row r="40">
      <x:c r="A40" s="28" t="n">
        <x:v>40763</x:v>
      </x:c>
      <x:c r="B40" s="23" t="n">
        <x:v>36</x:v>
      </x:c>
      <x:c r="C40" s="23" t="str">
        <x:v>22423</x:v>
      </x:c>
      <x:c r="D40" s="23" t="str">
        <x:v>REGENCY CAKESTAND 3 TIER</x:v>
      </x:c>
      <x:c r="E40" s="34" t="n">
        <x:v>178</x:v>
      </x:c>
      <x:c r="F40" s="55" t="n">
        <x:v>2210.04</x:v>
      </x:c>
      <x:c r="G40" s="58" t="n">
        <x:f>E39</x:f>
        <x:v>180</x:v>
      </x:c>
      <x:c r="H40" s="58" t="n">
        <x:f>AVERAGE(E36:E39)</x:f>
        <x:v>288.75</x:v>
      </x:c>
      <x:c r="I40" s="58" t="n">
        <x:f>AVERAGE(E32:E39)</x:f>
        <x:v>211</x:v>
      </x:c>
      <x:c r="J40" s="58" t="n">
        <x:f>IF(G40="","",ABS(E40-G40))</x:f>
        <x:v>2</x:v>
      </x:c>
      <x:c r="K40" s="58" t="n">
        <x:f>IF(H40="","",ABS(E40-H40))</x:f>
        <x:v>110.75</x:v>
      </x:c>
      <x:c r="L40" s="58" t="n">
        <x:f>IF(I40="","",ABS(E40-I40))</x:f>
        <x:v>33</x:v>
      </x:c>
      <x:c r="M40" s="23" t="str">
        <x:f>IF(B40&gt;44,"Validation","Training")</x:f>
        <x:v>Training</x:v>
      </x:c>
      <x:c r="N40" s="61" t="n">
        <x:f>IF(OR(H40="",E40=0),"",K40/E40)</x:f>
        <x:v>0.6221910112359551</x:v>
      </x:c>
    </x:row>
    <x:row r="41">
      <x:c r="A41" s="28" t="n">
        <x:v>40770</x:v>
      </x:c>
      <x:c r="B41" s="23" t="n">
        <x:v>37</x:v>
      </x:c>
      <x:c r="C41" s="23" t="str">
        <x:v>22423</x:v>
      </x:c>
      <x:c r="D41" s="23" t="str">
        <x:v>REGENCY CAKESTAND 3 TIER</x:v>
      </x:c>
      <x:c r="E41" s="34" t="n">
        <x:v>210</x:v>
      </x:c>
      <x:c r="F41" s="55" t="n">
        <x:v>2544.78</x:v>
      </x:c>
      <x:c r="G41" s="58" t="n">
        <x:f>E40</x:f>
        <x:v>178</x:v>
      </x:c>
      <x:c r="H41" s="58" t="n">
        <x:f>AVERAGE(E37:E40)</x:f>
        <x:v>260.25</x:v>
      </x:c>
      <x:c r="I41" s="58" t="n">
        <x:f>AVERAGE(E33:E40)</x:f>
        <x:v>211.5</x:v>
      </x:c>
      <x:c r="J41" s="58" t="n">
        <x:f>IF(G41="","",ABS(E41-G41))</x:f>
        <x:v>32</x:v>
      </x:c>
      <x:c r="K41" s="58" t="n">
        <x:f>IF(H41="","",ABS(E41-H41))</x:f>
        <x:v>50.25</x:v>
      </x:c>
      <x:c r="L41" s="58" t="n">
        <x:f>IF(I41="","",ABS(E41-I41))</x:f>
        <x:v>1.5</x:v>
      </x:c>
      <x:c r="M41" s="23" t="str">
        <x:f>IF(B41&gt;44,"Validation","Training")</x:f>
        <x:v>Training</x:v>
      </x:c>
      <x:c r="N41" s="61" t="n">
        <x:f>IF(OR(H41="",E41=0),"",K41/E41)</x:f>
        <x:v>0.2392857142857143</x:v>
      </x:c>
    </x:row>
    <x:row r="42">
      <x:c r="A42" s="28" t="n">
        <x:v>40777</x:v>
      </x:c>
      <x:c r="B42" s="23" t="n">
        <x:v>38</x:v>
      </x:c>
      <x:c r="C42" s="23" t="str">
        <x:v>22423</x:v>
      </x:c>
      <x:c r="D42" s="23" t="str">
        <x:v>REGENCY CAKESTAND 3 TIER</x:v>
      </x:c>
      <x:c r="E42" s="34" t="n">
        <x:v>242</x:v>
      </x:c>
      <x:c r="F42" s="55" t="n">
        <x:v>2907.39</x:v>
      </x:c>
      <x:c r="G42" s="58" t="n">
        <x:f>E41</x:f>
        <x:v>210</x:v>
      </x:c>
      <x:c r="H42" s="58" t="n">
        <x:f>AVERAGE(E38:E41)</x:f>
        <x:v>227.5</x:v>
      </x:c>
      <x:c r="I42" s="58" t="n">
        <x:f>AVERAGE(E34:E41)</x:f>
        <x:v>219.875</x:v>
      </x:c>
      <x:c r="J42" s="58" t="n">
        <x:f>IF(G42="","",ABS(E42-G42))</x:f>
        <x:v>32</x:v>
      </x:c>
      <x:c r="K42" s="58" t="n">
        <x:f>IF(H42="","",ABS(E42-H42))</x:f>
        <x:v>14.5</x:v>
      </x:c>
      <x:c r="L42" s="58" t="n">
        <x:f>IF(I42="","",ABS(E42-I42))</x:f>
        <x:v>22.125</x:v>
      </x:c>
      <x:c r="M42" s="23" t="str">
        <x:f>IF(B42&gt;44,"Validation","Training")</x:f>
        <x:v>Training</x:v>
      </x:c>
      <x:c r="N42" s="61" t="n">
        <x:f>IF(OR(H42="",E42=0),"",K42/E42)</x:f>
        <x:v>0.05991735537190083</x:v>
      </x:c>
    </x:row>
    <x:row r="43">
      <x:c r="A43" s="28" t="n">
        <x:v>40784</x:v>
      </x:c>
      <x:c r="B43" s="23" t="n">
        <x:v>39</x:v>
      </x:c>
      <x:c r="C43" s="23" t="str">
        <x:v>22423</x:v>
      </x:c>
      <x:c r="D43" s="23" t="str">
        <x:v>REGENCY CAKESTAND 3 TIER</x:v>
      </x:c>
      <x:c r="E43" s="34" t="n">
        <x:v>147</x:v>
      </x:c>
      <x:c r="F43" s="55" t="n">
        <x:v>1991.04</x:v>
      </x:c>
      <x:c r="G43" s="58" t="n">
        <x:f>E42</x:f>
        <x:v>242</x:v>
      </x:c>
      <x:c r="H43" s="58" t="n">
        <x:f>AVERAGE(E39:E42)</x:f>
        <x:v>202.5</x:v>
      </x:c>
      <x:c r="I43" s="58" t="n">
        <x:f>AVERAGE(E35:E42)</x:f>
        <x:v>239.5</x:v>
      </x:c>
      <x:c r="J43" s="58" t="n">
        <x:f>IF(G43="","",ABS(E43-G43))</x:f>
        <x:v>95</x:v>
      </x:c>
      <x:c r="K43" s="58" t="n">
        <x:f>IF(H43="","",ABS(E43-H43))</x:f>
        <x:v>55.5</x:v>
      </x:c>
      <x:c r="L43" s="58" t="n">
        <x:f>IF(I43="","",ABS(E43-I43))</x:f>
        <x:v>92.5</x:v>
      </x:c>
      <x:c r="M43" s="23" t="str">
        <x:f>IF(B43&gt;44,"Validation","Training")</x:f>
        <x:v>Training</x:v>
      </x:c>
      <x:c r="N43" s="61" t="n">
        <x:f>IF(OR(H43="",E43=0),"",K43/E43)</x:f>
        <x:v>0.37755102040816324</x:v>
      </x:c>
    </x:row>
    <x:row r="44">
      <x:c r="A44" s="28" t="n">
        <x:v>40791</x:v>
      </x:c>
      <x:c r="B44" s="23" t="n">
        <x:v>40</x:v>
      </x:c>
      <x:c r="C44" s="23" t="str">
        <x:v>22423</x:v>
      </x:c>
      <x:c r="D44" s="23" t="str">
        <x:v>REGENCY CAKESTAND 3 TIER</x:v>
      </x:c>
      <x:c r="E44" s="34" t="n">
        <x:v>150</x:v>
      </x:c>
      <x:c r="F44" s="55" t="n">
        <x:v>1825.17</x:v>
      </x:c>
      <x:c r="G44" s="58" t="n">
        <x:f>E43</x:f>
        <x:v>147</x:v>
      </x:c>
      <x:c r="H44" s="58" t="n">
        <x:f>AVERAGE(E40:E43)</x:f>
        <x:v>194.25</x:v>
      </x:c>
      <x:c r="I44" s="58" t="n">
        <x:f>AVERAGE(E36:E43)</x:f>
        <x:v>241.5</x:v>
      </x:c>
      <x:c r="J44" s="58" t="n">
        <x:f>IF(G44="","",ABS(E44-G44))</x:f>
        <x:v>3</x:v>
      </x:c>
      <x:c r="K44" s="58" t="n">
        <x:f>IF(H44="","",ABS(E44-H44))</x:f>
        <x:v>44.25</x:v>
      </x:c>
      <x:c r="L44" s="58" t="n">
        <x:f>IF(I44="","",ABS(E44-I44))</x:f>
        <x:v>91.5</x:v>
      </x:c>
      <x:c r="M44" s="23" t="str">
        <x:f>IF(B44&gt;44,"Validation","Training")</x:f>
        <x:v>Training</x:v>
      </x:c>
      <x:c r="N44" s="61" t="n">
        <x:f>IF(OR(H44="",E44=0),"",K44/E44)</x:f>
        <x:v>0.295</x:v>
      </x:c>
    </x:row>
    <x:row r="45">
      <x:c r="A45" s="28" t="n">
        <x:v>40798</x:v>
      </x:c>
      <x:c r="B45" s="23" t="n">
        <x:v>41</x:v>
      </x:c>
      <x:c r="C45" s="23" t="str">
        <x:v>22423</x:v>
      </x:c>
      <x:c r="D45" s="23" t="str">
        <x:v>REGENCY CAKESTAND 3 TIER</x:v>
      </x:c>
      <x:c r="E45" s="34" t="n">
        <x:v>219</x:v>
      </x:c>
      <x:c r="F45" s="55" t="n">
        <x:v>2622.9</x:v>
      </x:c>
      <x:c r="G45" s="58" t="n">
        <x:f>E44</x:f>
        <x:v>150</x:v>
      </x:c>
      <x:c r="H45" s="58" t="n">
        <x:f>AVERAGE(E41:E44)</x:f>
        <x:v>187.25</x:v>
      </x:c>
      <x:c r="I45" s="58" t="n">
        <x:f>AVERAGE(E37:E44)</x:f>
        <x:v>223.75</x:v>
      </x:c>
      <x:c r="J45" s="58" t="n">
        <x:f>IF(G45="","",ABS(E45-G45))</x:f>
        <x:v>69</x:v>
      </x:c>
      <x:c r="K45" s="58" t="n">
        <x:f>IF(H45="","",ABS(E45-H45))</x:f>
        <x:v>31.75</x:v>
      </x:c>
      <x:c r="L45" s="58" t="n">
        <x:f>IF(I45="","",ABS(E45-I45))</x:f>
        <x:v>4.75</x:v>
      </x:c>
      <x:c r="M45" s="23" t="str">
        <x:f>IF(B45&gt;44,"Validation","Training")</x:f>
        <x:v>Training</x:v>
      </x:c>
      <x:c r="N45" s="61" t="n">
        <x:f>IF(OR(H45="",E45=0),"",K45/E45)</x:f>
        <x:v>0.1449771689497717</x:v>
      </x:c>
    </x:row>
    <x:row r="46">
      <x:c r="A46" s="28" t="n">
        <x:v>40805</x:v>
      </x:c>
      <x:c r="B46" s="23" t="n">
        <x:v>42</x:v>
      </x:c>
      <x:c r="C46" s="23" t="str">
        <x:v>22423</x:v>
      </x:c>
      <x:c r="D46" s="23" t="str">
        <x:v>REGENCY CAKESTAND 3 TIER</x:v>
      </x:c>
      <x:c r="E46" s="34" t="n">
        <x:v>147</x:v>
      </x:c>
      <x:c r="F46" s="55" t="n">
        <x:v>1954.41</x:v>
      </x:c>
      <x:c r="G46" s="58" t="n">
        <x:f>E45</x:f>
        <x:v>219</x:v>
      </x:c>
      <x:c r="H46" s="58" t="n">
        <x:f>AVERAGE(E42:E45)</x:f>
        <x:v>189.5</x:v>
      </x:c>
      <x:c r="I46" s="58" t="n">
        <x:f>AVERAGE(E38:E45)</x:f>
        <x:v>208.5</x:v>
      </x:c>
      <x:c r="J46" s="58" t="n">
        <x:f>IF(G46="","",ABS(E46-G46))</x:f>
        <x:v>72</x:v>
      </x:c>
      <x:c r="K46" s="58" t="n">
        <x:f>IF(H46="","",ABS(E46-H46))</x:f>
        <x:v>42.5</x:v>
      </x:c>
      <x:c r="L46" s="58" t="n">
        <x:f>IF(I46="","",ABS(E46-I46))</x:f>
        <x:v>61.5</x:v>
      </x:c>
      <x:c r="M46" s="23" t="str">
        <x:f>IF(B46&gt;44,"Validation","Training")</x:f>
        <x:v>Training</x:v>
      </x:c>
      <x:c r="N46" s="61" t="n">
        <x:f>IF(OR(H46="",E46=0),"",K46/E46)</x:f>
        <x:v>0.2891156462585034</x:v>
      </x:c>
    </x:row>
    <x:row r="47">
      <x:c r="A47" s="28" t="n">
        <x:v>40812</x:v>
      </x:c>
      <x:c r="B47" s="23" t="n">
        <x:v>43</x:v>
      </x:c>
      <x:c r="C47" s="23" t="str">
        <x:v>22423</x:v>
      </x:c>
      <x:c r="D47" s="23" t="str">
        <x:v>REGENCY CAKESTAND 3 TIER</x:v>
      </x:c>
      <x:c r="E47" s="34" t="n">
        <x:v>149</x:v>
      </x:c>
      <x:c r="F47" s="55" t="n">
        <x:v>1852.65</x:v>
      </x:c>
      <x:c r="G47" s="58" t="n">
        <x:f>E46</x:f>
        <x:v>147</x:v>
      </x:c>
      <x:c r="H47" s="58" t="n">
        <x:f>AVERAGE(E43:E46)</x:f>
        <x:v>165.75</x:v>
      </x:c>
      <x:c r="I47" s="58" t="n">
        <x:f>AVERAGE(E39:E46)</x:f>
        <x:v>184.125</x:v>
      </x:c>
      <x:c r="J47" s="58" t="n">
        <x:f>IF(G47="","",ABS(E47-G47))</x:f>
        <x:v>2</x:v>
      </x:c>
      <x:c r="K47" s="58" t="n">
        <x:f>IF(H47="","",ABS(E47-H47))</x:f>
        <x:v>16.75</x:v>
      </x:c>
      <x:c r="L47" s="58" t="n">
        <x:f>IF(I47="","",ABS(E47-I47))</x:f>
        <x:v>35.125</x:v>
      </x:c>
      <x:c r="M47" s="23" t="str">
        <x:f>IF(B47&gt;44,"Validation","Training")</x:f>
        <x:v>Training</x:v>
      </x:c>
      <x:c r="N47" s="61" t="n">
        <x:f>IF(OR(H47="",E47=0),"",K47/E47)</x:f>
        <x:v>0.11241610738255034</x:v>
      </x:c>
    </x:row>
    <x:row r="48">
      <x:c r="A48" s="28" t="n">
        <x:v>40819</x:v>
      </x:c>
      <x:c r="B48" s="23" t="n">
        <x:v>44</x:v>
      </x:c>
      <x:c r="C48" s="23" t="str">
        <x:v>22423</x:v>
      </x:c>
      <x:c r="D48" s="23" t="str">
        <x:v>REGENCY CAKESTAND 3 TIER</x:v>
      </x:c>
      <x:c r="E48" s="34" t="n">
        <x:v>409</x:v>
      </x:c>
      <x:c r="F48" s="55" t="n">
        <x:v>4883.58</x:v>
      </x:c>
      <x:c r="G48" s="58" t="n">
        <x:f>E47</x:f>
        <x:v>149</x:v>
      </x:c>
      <x:c r="H48" s="58" t="n">
        <x:f>AVERAGE(E44:E47)</x:f>
        <x:v>166.25</x:v>
      </x:c>
      <x:c r="I48" s="58" t="n">
        <x:f>AVERAGE(E40:E47)</x:f>
        <x:v>180.25</x:v>
      </x:c>
      <x:c r="J48" s="58" t="n">
        <x:f>IF(G48="","",ABS(E48-G48))</x:f>
        <x:v>260</x:v>
      </x:c>
      <x:c r="K48" s="58" t="n">
        <x:f>IF(H48="","",ABS(E48-H48))</x:f>
        <x:v>242.75</x:v>
      </x:c>
      <x:c r="L48" s="58" t="n">
        <x:f>IF(I48="","",ABS(E48-I48))</x:f>
        <x:v>228.75</x:v>
      </x:c>
      <x:c r="M48" s="23" t="str">
        <x:f>IF(B48&gt;44,"Validation","Training")</x:f>
        <x:v>Training</x:v>
      </x:c>
      <x:c r="N48" s="61" t="n">
        <x:f>IF(OR(H48="",E48=0),"",K48/E48)</x:f>
        <x:v>0.593520782396088</x:v>
      </x:c>
    </x:row>
    <x:row r="49">
      <x:c r="A49" s="28" t="n">
        <x:v>40826</x:v>
      </x:c>
      <x:c r="B49" s="23" t="n">
        <x:v>45</x:v>
      </x:c>
      <x:c r="C49" s="23" t="str">
        <x:v>22423</x:v>
      </x:c>
      <x:c r="D49" s="23" t="str">
        <x:v>REGENCY CAKESTAND 3 TIER</x:v>
      </x:c>
      <x:c r="E49" s="34" t="n">
        <x:v>214</x:v>
      </x:c>
      <x:c r="F49" s="55" t="n">
        <x:v>2729.22</x:v>
      </x:c>
      <x:c r="G49" s="58" t="n">
        <x:f>E48</x:f>
        <x:v>409</x:v>
      </x:c>
      <x:c r="H49" s="58" t="n">
        <x:f>AVERAGE(E45:E48)</x:f>
        <x:v>231</x:v>
      </x:c>
      <x:c r="I49" s="58" t="n">
        <x:f>AVERAGE(E41:E48)</x:f>
        <x:v>209.125</x:v>
      </x:c>
      <x:c r="J49" s="58" t="n">
        <x:f>IF(G49="","",ABS(E49-G49))</x:f>
        <x:v>195</x:v>
      </x:c>
      <x:c r="K49" s="58" t="n">
        <x:f>IF(H49="","",ABS(E49-H49))</x:f>
        <x:v>17</x:v>
      </x:c>
      <x:c r="L49" s="58" t="n">
        <x:f>IF(I49="","",ABS(E49-I49))</x:f>
        <x:v>4.875</x:v>
      </x:c>
      <x:c r="M49" s="23" t="str">
        <x:f>IF(B49&gt;44,"Validation","Training")</x:f>
        <x:v>Validation</x:v>
      </x:c>
      <x:c r="N49" s="61" t="n">
        <x:f>IF(OR(H49="",E49=0),"",K49/E49)</x:f>
        <x:v>0.0794392523364486</x:v>
      </x:c>
    </x:row>
    <x:row r="50">
      <x:c r="A50" s="28" t="n">
        <x:v>40833</x:v>
      </x:c>
      <x:c r="B50" s="23" t="n">
        <x:v>46</x:v>
      </x:c>
      <x:c r="C50" s="23" t="str">
        <x:v>22423</x:v>
      </x:c>
      <x:c r="D50" s="23" t="str">
        <x:v>REGENCY CAKESTAND 3 TIER</x:v>
      </x:c>
      <x:c r="E50" s="34" t="n">
        <x:v>268</x:v>
      </x:c>
      <x:c r="F50" s="55" t="n">
        <x:v>3205.71</x:v>
      </x:c>
      <x:c r="G50" s="58" t="n">
        <x:f>E49</x:f>
        <x:v>214</x:v>
      </x:c>
      <x:c r="H50" s="58" t="n">
        <x:f>AVERAGE(E46:E49)</x:f>
        <x:v>229.75</x:v>
      </x:c>
      <x:c r="I50" s="58" t="n">
        <x:f>AVERAGE(E42:E49)</x:f>
        <x:v>209.625</x:v>
      </x:c>
      <x:c r="J50" s="58" t="n">
        <x:f>IF(G50="","",ABS(E50-G50))</x:f>
        <x:v>54</x:v>
      </x:c>
      <x:c r="K50" s="58" t="n">
        <x:f>IF(H50="","",ABS(E50-H50))</x:f>
        <x:v>38.25</x:v>
      </x:c>
      <x:c r="L50" s="58" t="n">
        <x:f>IF(I50="","",ABS(E50-I50))</x:f>
        <x:v>58.375</x:v>
      </x:c>
      <x:c r="M50" s="23" t="str">
        <x:f>IF(B50&gt;44,"Validation","Training")</x:f>
        <x:v>Validation</x:v>
      </x:c>
      <x:c r="N50" s="61" t="n">
        <x:f>IF(OR(H50="",E50=0),"",K50/E50)</x:f>
        <x:v>0.14272388059701493</x:v>
      </x:c>
    </x:row>
    <x:row r="51">
      <x:c r="A51" s="28" t="n">
        <x:v>40840</x:v>
      </x:c>
      <x:c r="B51" s="23" t="n">
        <x:v>47</x:v>
      </x:c>
      <x:c r="C51" s="23" t="str">
        <x:v>22423</x:v>
      </x:c>
      <x:c r="D51" s="23" t="str">
        <x:v>REGENCY CAKESTAND 3 TIER</x:v>
      </x:c>
      <x:c r="E51" s="34" t="n">
        <x:v>135</x:v>
      </x:c>
      <x:c r="F51" s="55" t="n">
        <x:v>1679.31</x:v>
      </x:c>
      <x:c r="G51" s="58" t="n">
        <x:f>E50</x:f>
        <x:v>268</x:v>
      </x:c>
      <x:c r="H51" s="58" t="n">
        <x:f>AVERAGE(E47:E50)</x:f>
        <x:v>260</x:v>
      </x:c>
      <x:c r="I51" s="58" t="n">
        <x:f>AVERAGE(E43:E50)</x:f>
        <x:v>212.875</x:v>
      </x:c>
      <x:c r="J51" s="58" t="n">
        <x:f>IF(G51="","",ABS(E51-G51))</x:f>
        <x:v>133</x:v>
      </x:c>
      <x:c r="K51" s="58" t="n">
        <x:f>IF(H51="","",ABS(E51-H51))</x:f>
        <x:v>125</x:v>
      </x:c>
      <x:c r="L51" s="58" t="n">
        <x:f>IF(I51="","",ABS(E51-I51))</x:f>
        <x:v>77.875</x:v>
      </x:c>
      <x:c r="M51" s="23" t="str">
        <x:f>IF(B51&gt;44,"Validation","Training")</x:f>
        <x:v>Validation</x:v>
      </x:c>
      <x:c r="N51" s="61" t="n">
        <x:f>IF(OR(H51="",E51=0),"",K51/E51)</x:f>
        <x:v>0.9259259259259259</x:v>
      </x:c>
    </x:row>
    <x:row r="52">
      <x:c r="A52" s="28" t="n">
        <x:v>40847</x:v>
      </x:c>
      <x:c r="B52" s="23" t="n">
        <x:v>48</x:v>
      </x:c>
      <x:c r="C52" s="23" t="str">
        <x:v>22423</x:v>
      </x:c>
      <x:c r="D52" s="23" t="str">
        <x:v>REGENCY CAKESTAND 3 TIER</x:v>
      </x:c>
      <x:c r="E52" s="34" t="n">
        <x:v>279</x:v>
      </x:c>
      <x:c r="F52" s="55" t="n">
        <x:v>3466.8</x:v>
      </x:c>
      <x:c r="G52" s="58" t="n">
        <x:f>E51</x:f>
        <x:v>135</x:v>
      </x:c>
      <x:c r="H52" s="58" t="n">
        <x:f>AVERAGE(E48:E51)</x:f>
        <x:v>256.5</x:v>
      </x:c>
      <x:c r="I52" s="58" t="n">
        <x:f>AVERAGE(E44:E51)</x:f>
        <x:v>211.375</x:v>
      </x:c>
      <x:c r="J52" s="58" t="n">
        <x:f>IF(G52="","",ABS(E52-G52))</x:f>
        <x:v>144</x:v>
      </x:c>
      <x:c r="K52" s="58" t="n">
        <x:f>IF(H52="","",ABS(E52-H52))</x:f>
        <x:v>22.5</x:v>
      </x:c>
      <x:c r="L52" s="58" t="n">
        <x:f>IF(I52="","",ABS(E52-I52))</x:f>
        <x:v>67.625</x:v>
      </x:c>
      <x:c r="M52" s="23" t="str">
        <x:f>IF(B52&gt;44,"Validation","Training")</x:f>
        <x:v>Validation</x:v>
      </x:c>
      <x:c r="N52" s="61" t="n">
        <x:f>IF(OR(H52="",E52=0),"",K52/E52)</x:f>
        <x:v>0.08064516129032258</x:v>
      </x:c>
    </x:row>
    <x:row r="53">
      <x:c r="A53" s="28" t="n">
        <x:v>40854</x:v>
      </x:c>
      <x:c r="B53" s="23" t="n">
        <x:v>49</x:v>
      </x:c>
      <x:c r="C53" s="23" t="str">
        <x:v>22423</x:v>
      </x:c>
      <x:c r="D53" s="23" t="str">
        <x:v>REGENCY CAKESTAND 3 TIER</x:v>
      </x:c>
      <x:c r="E53" s="34" t="n">
        <x:v>169</x:v>
      </x:c>
      <x:c r="F53" s="55" t="n">
        <x:v>2357.01</x:v>
      </x:c>
      <x:c r="G53" s="58" t="n">
        <x:f>E52</x:f>
        <x:v>279</x:v>
      </x:c>
      <x:c r="H53" s="58" t="n">
        <x:f>AVERAGE(E49:E52)</x:f>
        <x:v>224</x:v>
      </x:c>
      <x:c r="I53" s="58" t="n">
        <x:f>AVERAGE(E45:E52)</x:f>
        <x:v>227.5</x:v>
      </x:c>
      <x:c r="J53" s="58" t="n">
        <x:f>IF(G53="","",ABS(E53-G53))</x:f>
        <x:v>110</x:v>
      </x:c>
      <x:c r="K53" s="58" t="n">
        <x:f>IF(H53="","",ABS(E53-H53))</x:f>
        <x:v>55</x:v>
      </x:c>
      <x:c r="L53" s="58" t="n">
        <x:f>IF(I53="","",ABS(E53-I53))</x:f>
        <x:v>58.5</x:v>
      </x:c>
      <x:c r="M53" s="23" t="str">
        <x:f>IF(B53&gt;44,"Validation","Training")</x:f>
        <x:v>Validation</x:v>
      </x:c>
      <x:c r="N53" s="61" t="n">
        <x:f>IF(OR(H53="",E53=0),"",K53/E53)</x:f>
        <x:v>0.3254437869822485</x:v>
      </x:c>
    </x:row>
    <x:row r="54">
      <x:c r="A54" s="28" t="n">
        <x:v>40861</x:v>
      </x:c>
      <x:c r="B54" s="23" t="n">
        <x:v>50</x:v>
      </x:c>
      <x:c r="C54" s="23" t="str">
        <x:v>22423</x:v>
      </x:c>
      <x:c r="D54" s="23" t="str">
        <x:v>REGENCY CAKESTAND 3 TIER</x:v>
      </x:c>
      <x:c r="E54" s="34" t="n">
        <x:v>235</x:v>
      </x:c>
      <x:c r="F54" s="55" t="n">
        <x:v>3020.07</x:v>
      </x:c>
      <x:c r="G54" s="58" t="n">
        <x:f>E53</x:f>
        <x:v>169</x:v>
      </x:c>
      <x:c r="H54" s="58" t="n">
        <x:f>AVERAGE(E50:E53)</x:f>
        <x:v>212.75</x:v>
      </x:c>
      <x:c r="I54" s="58" t="n">
        <x:f>AVERAGE(E46:E53)</x:f>
        <x:v>221.25</x:v>
      </x:c>
      <x:c r="J54" s="58" t="n">
        <x:f>IF(G54="","",ABS(E54-G54))</x:f>
        <x:v>66</x:v>
      </x:c>
      <x:c r="K54" s="58" t="n">
        <x:f>IF(H54="","",ABS(E54-H54))</x:f>
        <x:v>22.25</x:v>
      </x:c>
      <x:c r="L54" s="58" t="n">
        <x:f>IF(I54="","",ABS(E54-I54))</x:f>
        <x:v>13.75</x:v>
      </x:c>
      <x:c r="M54" s="23" t="str">
        <x:f>IF(B54&gt;44,"Validation","Training")</x:f>
        <x:v>Validation</x:v>
      </x:c>
      <x:c r="N54" s="61" t="n">
        <x:f>IF(OR(H54="",E54=0),"",K54/E54)</x:f>
        <x:v>0.09468085106382979</x:v>
      </x:c>
    </x:row>
    <x:row r="55">
      <x:c r="A55" s="28" t="n">
        <x:v>40868</x:v>
      </x:c>
      <x:c r="B55" s="23" t="n">
        <x:v>51</x:v>
      </x:c>
      <x:c r="C55" s="23" t="str">
        <x:v>22423</x:v>
      </x:c>
      <x:c r="D55" s="23" t="str">
        <x:v>REGENCY CAKESTAND 3 TIER</x:v>
      </x:c>
      <x:c r="E55" s="34" t="n">
        <x:v>261</x:v>
      </x:c>
      <x:c r="F55" s="55" t="n">
        <x:v>3543.6</x:v>
      </x:c>
      <x:c r="G55" s="58" t="n">
        <x:f>E54</x:f>
        <x:v>235</x:v>
      </x:c>
      <x:c r="H55" s="58" t="n">
        <x:f>AVERAGE(E51:E54)</x:f>
        <x:v>204.5</x:v>
      </x:c>
      <x:c r="I55" s="58" t="n">
        <x:f>AVERAGE(E47:E54)</x:f>
        <x:v>232.25</x:v>
      </x:c>
      <x:c r="J55" s="58" t="n">
        <x:f>IF(G55="","",ABS(E55-G55))</x:f>
        <x:v>26</x:v>
      </x:c>
      <x:c r="K55" s="58" t="n">
        <x:f>IF(H55="","",ABS(E55-H55))</x:f>
        <x:v>56.5</x:v>
      </x:c>
      <x:c r="L55" s="58" t="n">
        <x:f>IF(I55="","",ABS(E55-I55))</x:f>
        <x:v>28.75</x:v>
      </x:c>
      <x:c r="M55" s="23" t="str">
        <x:f>IF(B55&gt;44,"Validation","Training")</x:f>
        <x:v>Validation</x:v>
      </x:c>
      <x:c r="N55" s="61" t="n">
        <x:f>IF(OR(H55="",E55=0),"",K55/E55)</x:f>
        <x:v>0.2164750957854406</x:v>
      </x:c>
    </x:row>
    <x:row r="56">
      <x:c r="A56" s="28" t="n">
        <x:v>40875</x:v>
      </x:c>
      <x:c r="B56" s="23" t="n">
        <x:v>52</x:v>
      </x:c>
      <x:c r="C56" s="23" t="str">
        <x:v>22423</x:v>
      </x:c>
      <x:c r="D56" s="23" t="str">
        <x:v>REGENCY CAKESTAND 3 TIER</x:v>
      </x:c>
      <x:c r="E56" s="34" t="n">
        <x:v>236</x:v>
      </x:c>
      <x:c r="F56" s="55" t="n">
        <x:v>3254.04</x:v>
      </x:c>
      <x:c r="G56" s="58" t="n">
        <x:f>E55</x:f>
        <x:v>261</x:v>
      </x:c>
      <x:c r="H56" s="58" t="n">
        <x:f>AVERAGE(E52:E55)</x:f>
        <x:v>236</x:v>
      </x:c>
      <x:c r="I56" s="58" t="n">
        <x:f>AVERAGE(E48:E55)</x:f>
        <x:v>246.25</x:v>
      </x:c>
      <x:c r="J56" s="58" t="n">
        <x:f>IF(G56="","",ABS(E56-G56))</x:f>
        <x:v>25</x:v>
      </x:c>
      <x:c r="K56" s="58" t="n">
        <x:f>IF(H56="","",ABS(E56-H56))</x:f>
        <x:v>0</x:v>
      </x:c>
      <x:c r="L56" s="58" t="n">
        <x:f>IF(I56="","",ABS(E56-I56))</x:f>
        <x:v>10.25</x:v>
      </x:c>
      <x:c r="M56" s="23" t="str">
        <x:f>IF(B56&gt;44,"Validation","Training")</x:f>
        <x:v>Validation</x:v>
      </x:c>
      <x:c r="N56" s="61" t="n">
        <x:f>IF(OR(H56="",E56=0),"",K56/E56)</x:f>
        <x:v>0</x:v>
      </x:c>
    </x:row>
    <x:row r="57">
      <x:c r="A57" s="28" t="n">
        <x:v>40518</x:v>
      </x:c>
      <x:c r="B57" s="23" t="n">
        <x:v>1</x:v>
      </x:c>
      <x:c r="C57" s="23" t="str">
        <x:v>85123A</x:v>
      </x:c>
      <x:c r="D57" s="23" t="str">
        <x:v>WHITE HANGING HEART T-LIGHT HOLDER</x:v>
      </x:c>
      <x:c r="E57" s="34" t="n">
        <x:v>1045</x:v>
      </x:c>
      <x:c r="F57" s="55" t="n">
        <x:v>3018.11</x:v>
      </x:c>
      <x:c r="G57" s="58" t="str">
        <x:f>""</x:f>
      </x:c>
      <x:c r="H57" s="58" t="str">
        <x:f>""</x:f>
      </x:c>
      <x:c r="I57" s="58" t="str">
        <x:f>""</x:f>
      </x:c>
      <x:c r="J57" s="58" t="str">
        <x:f>IF(G57="","",ABS(E57-G57))</x:f>
      </x:c>
      <x:c r="K57" s="58" t="str">
        <x:f>IF(H57="","",ABS(E57-H57))</x:f>
      </x:c>
      <x:c r="L57" s="58" t="str">
        <x:f>IF(I57="","",ABS(E57-I57))</x:f>
      </x:c>
      <x:c r="M57" s="23" t="str">
        <x:f>IF(B57&gt;44,"Validation","Training")</x:f>
        <x:v>Training</x:v>
      </x:c>
      <x:c r="N57" s="61" t="str">
        <x:f>IF(OR(H57="",E57=0),"",K57/E57)</x:f>
      </x:c>
    </x:row>
    <x:row r="58">
      <x:c r="A58" s="28" t="n">
        <x:v>40525</x:v>
      </x:c>
      <x:c r="B58" s="23" t="n">
        <x:v>2</x:v>
      </x:c>
      <x:c r="C58" s="23" t="str">
        <x:v>85123A</x:v>
      </x:c>
      <x:c r="D58" s="23" t="str">
        <x:v>WHITE HANGING HEART T-LIGHT HOLDER</x:v>
      </x:c>
      <x:c r="E58" s="34" t="n">
        <x:v>1524</x:v>
      </x:c>
      <x:c r="F58" s="55" t="n">
        <x:v>4217.4</x:v>
      </x:c>
      <x:c r="G58" s="58" t="n">
        <x:f>E57</x:f>
        <x:v>1045</x:v>
      </x:c>
      <x:c r="H58" s="58" t="str">
        <x:f>""</x:f>
      </x:c>
      <x:c r="I58" s="58" t="str">
        <x:f>""</x:f>
      </x:c>
      <x:c r="J58" s="58" t="n">
        <x:f>IF(G58="","",ABS(E58-G58))</x:f>
        <x:v>479</x:v>
      </x:c>
      <x:c r="K58" s="58" t="str">
        <x:f>IF(H58="","",ABS(E58-H58))</x:f>
      </x:c>
      <x:c r="L58" s="58" t="str">
        <x:f>IF(I58="","",ABS(E58-I58))</x:f>
      </x:c>
      <x:c r="M58" s="23" t="str">
        <x:f>IF(B58&gt;44,"Validation","Training")</x:f>
        <x:v>Training</x:v>
      </x:c>
      <x:c r="N58" s="61" t="str">
        <x:f>IF(OR(H58="",E58=0),"",K58/E58)</x:f>
      </x:c>
    </x:row>
    <x:row r="59">
      <x:c r="A59" s="28" t="n">
        <x:v>40532</x:v>
      </x:c>
      <x:c r="B59" s="23" t="n">
        <x:v>3</x:v>
      </x:c>
      <x:c r="C59" s="23" t="str">
        <x:v>85123A</x:v>
      </x:c>
      <x:c r="D59" s="23" t="str">
        <x:v>WHITE HANGING HEART T-LIGHT HOLDER</x:v>
      </x:c>
      <x:c r="E59" s="34" t="n">
        <x:v>197</x:v>
      </x:c>
      <x:c r="F59" s="55" t="n">
        <x:v>563.47</x:v>
      </x:c>
      <x:c r="G59" s="58" t="n">
        <x:f>E58</x:f>
        <x:v>1524</x:v>
      </x:c>
      <x:c r="H59" s="58" t="str">
        <x:f>""</x:f>
      </x:c>
      <x:c r="I59" s="58" t="str">
        <x:f>""</x:f>
      </x:c>
      <x:c r="J59" s="58" t="n">
        <x:f>IF(G59="","",ABS(E59-G59))</x:f>
        <x:v>1327</x:v>
      </x:c>
      <x:c r="K59" s="58" t="str">
        <x:f>IF(H59="","",ABS(E59-H59))</x:f>
      </x:c>
      <x:c r="L59" s="58" t="str">
        <x:f>IF(I59="","",ABS(E59-I59))</x:f>
      </x:c>
      <x:c r="M59" s="23" t="str">
        <x:f>IF(B59&gt;44,"Validation","Training")</x:f>
        <x:v>Training</x:v>
      </x:c>
      <x:c r="N59" s="61" t="str">
        <x:f>IF(OR(H59="",E59=0),"",K59/E59)</x:f>
      </x:c>
    </x:row>
    <x:row r="60">
      <x:c r="A60" s="28" t="n">
        <x:v>40539</x:v>
      </x:c>
      <x:c r="B60" s="23" t="n">
        <x:v>4</x:v>
      </x:c>
      <x:c r="C60" s="23" t="str">
        <x:v>85123A</x:v>
      </x:c>
      <x:c r="D60" s="23" t="str">
        <x:v>WHITE HANGING HEART T-LIGHT HOLDER</x:v>
      </x:c>
      <x:c r="E60" s="34" t="n">
        <x:v>0</x:v>
      </x:c>
      <x:c r="F60" s="55" t="n">
        <x:v>0</x:v>
      </x:c>
      <x:c r="G60" s="58" t="n">
        <x:f>E59</x:f>
        <x:v>197</x:v>
      </x:c>
      <x:c r="H60" s="58" t="str">
        <x:f>""</x:f>
      </x:c>
      <x:c r="I60" s="58" t="str">
        <x:f>""</x:f>
      </x:c>
      <x:c r="J60" s="58" t="n">
        <x:f>IF(G60="","",ABS(E60-G60))</x:f>
        <x:v>197</x:v>
      </x:c>
      <x:c r="K60" s="58" t="str">
        <x:f>IF(H60="","",ABS(E60-H60))</x:f>
      </x:c>
      <x:c r="L60" s="58" t="str">
        <x:f>IF(I60="","",ABS(E60-I60))</x:f>
      </x:c>
      <x:c r="M60" s="23" t="str">
        <x:f>IF(B60&gt;44,"Validation","Training")</x:f>
        <x:v>Training</x:v>
      </x:c>
      <x:c r="N60" s="61" t="str">
        <x:f>IF(OR(H60="",E60=0),"",K60/E60)</x:f>
      </x:c>
    </x:row>
    <x:row r="61">
      <x:c r="A61" s="28" t="n">
        <x:v>40546</x:v>
      </x:c>
      <x:c r="B61" s="23" t="n">
        <x:v>5</x:v>
      </x:c>
      <x:c r="C61" s="23" t="str">
        <x:v>85123A</x:v>
      </x:c>
      <x:c r="D61" s="23" t="str">
        <x:v>WHITE HANGING HEART T-LIGHT HOLDER</x:v>
      </x:c>
      <x:c r="E61" s="34" t="n">
        <x:v>973</x:v>
      </x:c>
      <x:c r="F61" s="55" t="n">
        <x:v>2581.31</x:v>
      </x:c>
      <x:c r="G61" s="58" t="n">
        <x:f>E60</x:f>
        <x:v>0</x:v>
      </x:c>
      <x:c r="H61" s="58" t="n">
        <x:f>AVERAGE(E57:E60)</x:f>
        <x:v>691.5</x:v>
      </x:c>
      <x:c r="I61" s="58" t="str">
        <x:f>""</x:f>
      </x:c>
      <x:c r="J61" s="58" t="str">
        <x:f>IF(G61="","",ABS(E61-G61))</x:f>
      </x:c>
      <x:c r="K61" s="58" t="n">
        <x:f>IF(H61="","",ABS(E61-H61))</x:f>
        <x:v>281.5</x:v>
      </x:c>
      <x:c r="L61" s="58" t="str">
        <x:f>IF(I61="","",ABS(E61-I61))</x:f>
      </x:c>
      <x:c r="M61" s="23" t="str">
        <x:f>IF(B61&gt;44,"Validation","Training")</x:f>
        <x:v>Training</x:v>
      </x:c>
      <x:c r="N61" s="61" t="n">
        <x:f>IF(OR(H61="",E61=0),"",K61/E61)</x:f>
        <x:v>0.289311408016444</x:v>
      </x:c>
    </x:row>
    <x:row r="62">
      <x:c r="A62" s="28" t="n">
        <x:v>40553</x:v>
      </x:c>
      <x:c r="B62" s="23" t="n">
        <x:v>6</x:v>
      </x:c>
      <x:c r="C62" s="23" t="str">
        <x:v>85123A</x:v>
      </x:c>
      <x:c r="D62" s="23" t="str">
        <x:v>WHITE HANGING HEART T-LIGHT HOLDER</x:v>
      </x:c>
      <x:c r="E62" s="34" t="n">
        <x:v>3329</x:v>
      </x:c>
      <x:c r="F62" s="55" t="n">
        <x:v>9266.41</x:v>
      </x:c>
      <x:c r="G62" s="58" t="n">
        <x:f>E61</x:f>
        <x:v>973</x:v>
      </x:c>
      <x:c r="H62" s="58" t="n">
        <x:f>AVERAGE(E58:E61)</x:f>
        <x:v>673.5</x:v>
      </x:c>
      <x:c r="I62" s="58" t="str">
        <x:f>""</x:f>
      </x:c>
      <x:c r="J62" s="58" t="n">
        <x:f>IF(G62="","",ABS(E62-G62))</x:f>
        <x:v>2356</x:v>
      </x:c>
      <x:c r="K62" s="58" t="n">
        <x:f>IF(H62="","",ABS(E62-H62))</x:f>
        <x:v>2655.5</x:v>
      </x:c>
      <x:c r="L62" s="58" t="str">
        <x:f>IF(I62="","",ABS(E62-I62))</x:f>
      </x:c>
      <x:c r="M62" s="23" t="str">
        <x:f>IF(B62&gt;44,"Validation","Training")</x:f>
        <x:v>Training</x:v>
      </x:c>
      <x:c r="N62" s="61" t="n">
        <x:f>IF(OR(H62="",E62=0),"",K62/E62)</x:f>
        <x:v>0.7976869930910183</x:v>
      </x:c>
    </x:row>
    <x:row r="63">
      <x:c r="A63" s="28" t="n">
        <x:v>40560</x:v>
      </x:c>
      <x:c r="B63" s="23" t="n">
        <x:v>7</x:v>
      </x:c>
      <x:c r="C63" s="23" t="str">
        <x:v>85123A</x:v>
      </x:c>
      <x:c r="D63" s="23" t="str">
        <x:v>WHITE HANGING HEART T-LIGHT HOLDER</x:v>
      </x:c>
      <x:c r="E63" s="34" t="n">
        <x:v>661</x:v>
      </x:c>
      <x:c r="F63" s="55" t="n">
        <x:v>1777.95</x:v>
      </x:c>
      <x:c r="G63" s="58" t="n">
        <x:f>E62</x:f>
        <x:v>3329</x:v>
      </x:c>
      <x:c r="H63" s="58" t="n">
        <x:f>AVERAGE(E59:E62)</x:f>
        <x:v>1124.75</x:v>
      </x:c>
      <x:c r="I63" s="58" t="str">
        <x:f>""</x:f>
      </x:c>
      <x:c r="J63" s="58" t="n">
        <x:f>IF(G63="","",ABS(E63-G63))</x:f>
        <x:v>2668</x:v>
      </x:c>
      <x:c r="K63" s="58" t="n">
        <x:f>IF(H63="","",ABS(E63-H63))</x:f>
        <x:v>463.75</x:v>
      </x:c>
      <x:c r="L63" s="58" t="str">
        <x:f>IF(I63="","",ABS(E63-I63))</x:f>
      </x:c>
      <x:c r="M63" s="23" t="str">
        <x:f>IF(B63&gt;44,"Validation","Training")</x:f>
        <x:v>Training</x:v>
      </x:c>
      <x:c r="N63" s="61" t="n">
        <x:f>IF(OR(H63="",E63=0),"",K63/E63)</x:f>
        <x:v>0.7015885022692889</x:v>
      </x:c>
    </x:row>
    <x:row r="64">
      <x:c r="A64" s="28" t="n">
        <x:v>40567</x:v>
      </x:c>
      <x:c r="B64" s="23" t="n">
        <x:v>8</x:v>
      </x:c>
      <x:c r="C64" s="23" t="str">
        <x:v>85123A</x:v>
      </x:c>
      <x:c r="D64" s="23" t="str">
        <x:v>WHITE HANGING HEART T-LIGHT HOLDER</x:v>
      </x:c>
      <x:c r="E64" s="34" t="n">
        <x:v>541</x:v>
      </x:c>
      <x:c r="F64" s="55" t="n">
        <x:v>1509.15</x:v>
      </x:c>
      <x:c r="G64" s="58" t="n">
        <x:f>E63</x:f>
        <x:v>661</x:v>
      </x:c>
      <x:c r="H64" s="58" t="n">
        <x:f>AVERAGE(E60:E63)</x:f>
        <x:v>1240.75</x:v>
      </x:c>
      <x:c r="I64" s="58" t="str">
        <x:f>""</x:f>
      </x:c>
      <x:c r="J64" s="58" t="n">
        <x:f>IF(G64="","",ABS(E64-G64))</x:f>
        <x:v>120</x:v>
      </x:c>
      <x:c r="K64" s="58" t="n">
        <x:f>IF(H64="","",ABS(E64-H64))</x:f>
        <x:v>699.75</x:v>
      </x:c>
      <x:c r="L64" s="58" t="str">
        <x:f>IF(I64="","",ABS(E64-I64))</x:f>
      </x:c>
      <x:c r="M64" s="23" t="str">
        <x:f>IF(B64&gt;44,"Validation","Training")</x:f>
        <x:v>Training</x:v>
      </x:c>
      <x:c r="N64" s="61" t="n">
        <x:f>IF(OR(H64="",E64=0),"",K64/E64)</x:f>
        <x:v>1.293438077634011</x:v>
      </x:c>
    </x:row>
    <x:row r="65">
      <x:c r="A65" s="28" t="n">
        <x:v>40574</x:v>
      </x:c>
      <x:c r="B65" s="23" t="n">
        <x:v>9</x:v>
      </x:c>
      <x:c r="C65" s="23" t="str">
        <x:v>85123A</x:v>
      </x:c>
      <x:c r="D65" s="23" t="str">
        <x:v>WHITE HANGING HEART T-LIGHT HOLDER</x:v>
      </x:c>
      <x:c r="E65" s="34" t="n">
        <x:v>586</x:v>
      </x:c>
      <x:c r="F65" s="55" t="n">
        <x:v>1603.46</x:v>
      </x:c>
      <x:c r="G65" s="58" t="n">
        <x:f>E64</x:f>
        <x:v>541</x:v>
      </x:c>
      <x:c r="H65" s="58" t="n">
        <x:f>AVERAGE(E61:E64)</x:f>
        <x:v>1376</x:v>
      </x:c>
      <x:c r="I65" s="58" t="n">
        <x:f>AVERAGE(E57:E64)</x:f>
        <x:v>1033.75</x:v>
      </x:c>
      <x:c r="J65" s="58" t="n">
        <x:f>IF(G65="","",ABS(E65-G65))</x:f>
        <x:v>45</x:v>
      </x:c>
      <x:c r="K65" s="58" t="n">
        <x:f>IF(H65="","",ABS(E65-H65))</x:f>
        <x:v>790</x:v>
      </x:c>
      <x:c r="L65" s="58" t="n">
        <x:f>IF(I65="","",ABS(E65-I65))</x:f>
        <x:v>447.75</x:v>
      </x:c>
      <x:c r="M65" s="23" t="str">
        <x:f>IF(B65&gt;44,"Validation","Training")</x:f>
        <x:v>Training</x:v>
      </x:c>
      <x:c r="N65" s="61" t="n">
        <x:f>IF(OR(H65="",E65=0),"",K65/E65)</x:f>
        <x:v>1.348122866894198</x:v>
      </x:c>
    </x:row>
    <x:row r="66">
      <x:c r="A66" s="28" t="n">
        <x:v>40581</x:v>
      </x:c>
      <x:c r="B66" s="23" t="n">
        <x:v>10</x:v>
      </x:c>
      <x:c r="C66" s="23" t="str">
        <x:v>85123A</x:v>
      </x:c>
      <x:c r="D66" s="23" t="str">
        <x:v>WHITE HANGING HEART T-LIGHT HOLDER</x:v>
      </x:c>
      <x:c r="E66" s="34" t="n">
        <x:v>517</x:v>
      </x:c>
      <x:c r="F66" s="55" t="n">
        <x:v>1392.59</x:v>
      </x:c>
      <x:c r="G66" s="58" t="n">
        <x:f>E65</x:f>
        <x:v>586</x:v>
      </x:c>
      <x:c r="H66" s="58" t="n">
        <x:f>AVERAGE(E62:E65)</x:f>
        <x:v>1279.25</x:v>
      </x:c>
      <x:c r="I66" s="58" t="n">
        <x:f>AVERAGE(E58:E65)</x:f>
        <x:v>976.375</x:v>
      </x:c>
      <x:c r="J66" s="58" t="n">
        <x:f>IF(G66="","",ABS(E66-G66))</x:f>
        <x:v>69</x:v>
      </x:c>
      <x:c r="K66" s="58" t="n">
        <x:f>IF(H66="","",ABS(E66-H66))</x:f>
        <x:v>762.25</x:v>
      </x:c>
      <x:c r="L66" s="58" t="n">
        <x:f>IF(I66="","",ABS(E66-I66))</x:f>
        <x:v>459.375</x:v>
      </x:c>
      <x:c r="M66" s="23" t="str">
        <x:f>IF(B66&gt;44,"Validation","Training")</x:f>
        <x:v>Training</x:v>
      </x:c>
      <x:c r="N66" s="61" t="n">
        <x:f>IF(OR(H66="",E66=0),"",K66/E66)</x:f>
        <x:v>1.4743713733075434</x:v>
      </x:c>
    </x:row>
    <x:row r="67">
      <x:c r="A67" s="28" t="n">
        <x:v>40588</x:v>
      </x:c>
      <x:c r="B67" s="23" t="n">
        <x:v>11</x:v>
      </x:c>
      <x:c r="C67" s="23" t="str">
        <x:v>85123A</x:v>
      </x:c>
      <x:c r="D67" s="23" t="str">
        <x:v>WHITE HANGING HEART T-LIGHT HOLDER</x:v>
      </x:c>
      <x:c r="E67" s="34" t="n">
        <x:v>365</x:v>
      </x:c>
      <x:c r="F67" s="55" t="n">
        <x:v>1000.83</x:v>
      </x:c>
      <x:c r="G67" s="58" t="n">
        <x:f>E66</x:f>
        <x:v>517</x:v>
      </x:c>
      <x:c r="H67" s="58" t="n">
        <x:f>AVERAGE(E63:E66)</x:f>
        <x:v>576.25</x:v>
      </x:c>
      <x:c r="I67" s="58" t="n">
        <x:f>AVERAGE(E59:E66)</x:f>
        <x:v>850.5</x:v>
      </x:c>
      <x:c r="J67" s="58" t="n">
        <x:f>IF(G67="","",ABS(E67-G67))</x:f>
        <x:v>152</x:v>
      </x:c>
      <x:c r="K67" s="58" t="n">
        <x:f>IF(H67="","",ABS(E67-H67))</x:f>
        <x:v>211.25</x:v>
      </x:c>
      <x:c r="L67" s="58" t="n">
        <x:f>IF(I67="","",ABS(E67-I67))</x:f>
        <x:v>485.5</x:v>
      </x:c>
      <x:c r="M67" s="23" t="str">
        <x:f>IF(B67&gt;44,"Validation","Training")</x:f>
        <x:v>Training</x:v>
      </x:c>
      <x:c r="N67" s="61" t="n">
        <x:f>IF(OR(H67="",E67=0),"",K67/E67)</x:f>
        <x:v>0.5787671232876712</x:v>
      </x:c>
    </x:row>
    <x:row r="68">
      <x:c r="A68" s="28" t="n">
        <x:v>40595</x:v>
      </x:c>
      <x:c r="B68" s="23" t="n">
        <x:v>12</x:v>
      </x:c>
      <x:c r="C68" s="23" t="str">
        <x:v>85123A</x:v>
      </x:c>
      <x:c r="D68" s="23" t="str">
        <x:v>WHITE HANGING HEART T-LIGHT HOLDER</x:v>
      </x:c>
      <x:c r="E68" s="34" t="n">
        <x:v>401</x:v>
      </x:c>
      <x:c r="F68" s="55" t="n">
        <x:v>1119.63</x:v>
      </x:c>
      <x:c r="G68" s="58" t="n">
        <x:f>E67</x:f>
        <x:v>365</x:v>
      </x:c>
      <x:c r="H68" s="58" t="n">
        <x:f>AVERAGE(E64:E67)</x:f>
        <x:v>502.25</x:v>
      </x:c>
      <x:c r="I68" s="58" t="n">
        <x:f>AVERAGE(E60:E67)</x:f>
        <x:v>871.5</x:v>
      </x:c>
      <x:c r="J68" s="58" t="n">
        <x:f>IF(G68="","",ABS(E68-G68))</x:f>
        <x:v>36</x:v>
      </x:c>
      <x:c r="K68" s="58" t="n">
        <x:f>IF(H68="","",ABS(E68-H68))</x:f>
        <x:v>101.25</x:v>
      </x:c>
      <x:c r="L68" s="58" t="n">
        <x:f>IF(I68="","",ABS(E68-I68))</x:f>
        <x:v>470.5</x:v>
      </x:c>
      <x:c r="M68" s="23" t="str">
        <x:f>IF(B68&gt;44,"Validation","Training")</x:f>
        <x:v>Training</x:v>
      </x:c>
      <x:c r="N68" s="61" t="n">
        <x:f>IF(OR(H68="",E68=0),"",K68/E68)</x:f>
        <x:v>0.2524937655860349</x:v>
      </x:c>
    </x:row>
    <x:row r="69">
      <x:c r="A69" s="28" t="n">
        <x:v>40602</x:v>
      </x:c>
      <x:c r="B69" s="23" t="n">
        <x:v>13</x:v>
      </x:c>
      <x:c r="C69" s="23" t="str">
        <x:v>85123A</x:v>
      </x:c>
      <x:c r="D69" s="23" t="str">
        <x:v>WHITE HANGING HEART T-LIGHT HOLDER</x:v>
      </x:c>
      <x:c r="E69" s="34" t="n">
        <x:v>380</x:v>
      </x:c>
      <x:c r="F69" s="55" t="n">
        <x:v>1084</x:v>
      </x:c>
      <x:c r="G69" s="58" t="n">
        <x:f>E68</x:f>
        <x:v>401</x:v>
      </x:c>
      <x:c r="H69" s="58" t="n">
        <x:f>AVERAGE(E65:E68)</x:f>
        <x:v>467.25</x:v>
      </x:c>
      <x:c r="I69" s="58" t="n">
        <x:f>AVERAGE(E61:E68)</x:f>
        <x:v>921.625</x:v>
      </x:c>
      <x:c r="J69" s="58" t="n">
        <x:f>IF(G69="","",ABS(E69-G69))</x:f>
        <x:v>21</x:v>
      </x:c>
      <x:c r="K69" s="58" t="n">
        <x:f>IF(H69="","",ABS(E69-H69))</x:f>
        <x:v>87.25</x:v>
      </x:c>
      <x:c r="L69" s="58" t="n">
        <x:f>IF(I69="","",ABS(E69-I69))</x:f>
        <x:v>541.625</x:v>
      </x:c>
      <x:c r="M69" s="23" t="str">
        <x:f>IF(B69&gt;44,"Validation","Training")</x:f>
        <x:v>Training</x:v>
      </x:c>
      <x:c r="N69" s="61" t="n">
        <x:f>IF(OR(H69="",E69=0),"",K69/E69)</x:f>
        <x:v>0.22960526315789473</x:v>
      </x:c>
    </x:row>
    <x:row r="70">
      <x:c r="A70" s="28" t="n">
        <x:v>40609</x:v>
      </x:c>
      <x:c r="B70" s="23" t="n">
        <x:v>14</x:v>
      </x:c>
      <x:c r="C70" s="23" t="str">
        <x:v>85123A</x:v>
      </x:c>
      <x:c r="D70" s="23" t="str">
        <x:v>WHITE HANGING HEART T-LIGHT HOLDER</x:v>
      </x:c>
      <x:c r="E70" s="34" t="n">
        <x:v>454</x:v>
      </x:c>
      <x:c r="F70" s="55" t="n">
        <x:v>1249.82</x:v>
      </x:c>
      <x:c r="G70" s="58" t="n">
        <x:f>E69</x:f>
        <x:v>380</x:v>
      </x:c>
      <x:c r="H70" s="58" t="n">
        <x:f>AVERAGE(E66:E69)</x:f>
        <x:v>415.75</x:v>
      </x:c>
      <x:c r="I70" s="58" t="n">
        <x:f>AVERAGE(E62:E69)</x:f>
        <x:v>847.5</x:v>
      </x:c>
      <x:c r="J70" s="58" t="n">
        <x:f>IF(G70="","",ABS(E70-G70))</x:f>
        <x:v>74</x:v>
      </x:c>
      <x:c r="K70" s="58" t="n">
        <x:f>IF(H70="","",ABS(E70-H70))</x:f>
        <x:v>38.25</x:v>
      </x:c>
      <x:c r="L70" s="58" t="n">
        <x:f>IF(I70="","",ABS(E70-I70))</x:f>
        <x:v>393.5</x:v>
      </x:c>
      <x:c r="M70" s="23" t="str">
        <x:f>IF(B70&gt;44,"Validation","Training")</x:f>
        <x:v>Training</x:v>
      </x:c>
      <x:c r="N70" s="61" t="n">
        <x:f>IF(OR(H70="",E70=0),"",K70/E70)</x:f>
        <x:v>0.0842511013215859</x:v>
      </x:c>
    </x:row>
    <x:row r="71">
      <x:c r="A71" s="28" t="n">
        <x:v>40616</x:v>
      </x:c>
      <x:c r="B71" s="23" t="n">
        <x:v>15</x:v>
      </x:c>
      <x:c r="C71" s="23" t="str">
        <x:v>85123A</x:v>
      </x:c>
      <x:c r="D71" s="23" t="str">
        <x:v>WHITE HANGING HEART T-LIGHT HOLDER</x:v>
      </x:c>
      <x:c r="E71" s="34" t="n">
        <x:v>464</x:v>
      </x:c>
      <x:c r="F71" s="55" t="n">
        <x:v>1264.96</x:v>
      </x:c>
      <x:c r="G71" s="58" t="n">
        <x:f>E70</x:f>
        <x:v>454</x:v>
      </x:c>
      <x:c r="H71" s="58" t="n">
        <x:f>AVERAGE(E67:E70)</x:f>
        <x:v>400</x:v>
      </x:c>
      <x:c r="I71" s="58" t="n">
        <x:f>AVERAGE(E63:E70)</x:f>
        <x:v>488.125</x:v>
      </x:c>
      <x:c r="J71" s="58" t="n">
        <x:f>IF(G71="","",ABS(E71-G71))</x:f>
        <x:v>10</x:v>
      </x:c>
      <x:c r="K71" s="58" t="n">
        <x:f>IF(H71="","",ABS(E71-H71))</x:f>
        <x:v>64</x:v>
      </x:c>
      <x:c r="L71" s="58" t="n">
        <x:f>IF(I71="","",ABS(E71-I71))</x:f>
        <x:v>24.125</x:v>
      </x:c>
      <x:c r="M71" s="23" t="str">
        <x:f>IF(B71&gt;44,"Validation","Training")</x:f>
        <x:v>Training</x:v>
      </x:c>
      <x:c r="N71" s="61" t="n">
        <x:f>IF(OR(H71="",E71=0),"",K71/E71)</x:f>
        <x:v>0.13793103448275862</x:v>
      </x:c>
    </x:row>
    <x:row r="72">
      <x:c r="A72" s="28" t="n">
        <x:v>40623</x:v>
      </x:c>
      <x:c r="B72" s="23" t="n">
        <x:v>16</x:v>
      </x:c>
      <x:c r="C72" s="23" t="str">
        <x:v>85123A</x:v>
      </x:c>
      <x:c r="D72" s="23" t="str">
        <x:v>WHITE HANGING HEART T-LIGHT HOLDER</x:v>
      </x:c>
      <x:c r="E72" s="34" t="n">
        <x:v>365</x:v>
      </x:c>
      <x:c r="F72" s="55" t="n">
        <x:v>1076.67</x:v>
      </x:c>
      <x:c r="G72" s="58" t="n">
        <x:f>E71</x:f>
        <x:v>464</x:v>
      </x:c>
      <x:c r="H72" s="58" t="n">
        <x:f>AVERAGE(E68:E71)</x:f>
        <x:v>424.75</x:v>
      </x:c>
      <x:c r="I72" s="58" t="n">
        <x:f>AVERAGE(E64:E71)</x:f>
        <x:v>463.5</x:v>
      </x:c>
      <x:c r="J72" s="58" t="n">
        <x:f>IF(G72="","",ABS(E72-G72))</x:f>
        <x:v>99</x:v>
      </x:c>
      <x:c r="K72" s="58" t="n">
        <x:f>IF(H72="","",ABS(E72-H72))</x:f>
        <x:v>59.75</x:v>
      </x:c>
      <x:c r="L72" s="58" t="n">
        <x:f>IF(I72="","",ABS(E72-I72))</x:f>
        <x:v>98.5</x:v>
      </x:c>
      <x:c r="M72" s="23" t="str">
        <x:f>IF(B72&gt;44,"Validation","Training")</x:f>
        <x:v>Training</x:v>
      </x:c>
      <x:c r="N72" s="61" t="n">
        <x:f>IF(OR(H72="",E72=0),"",K72/E72)</x:f>
        <x:v>0.1636986301369863</x:v>
      </x:c>
    </x:row>
    <x:row r="73">
      <x:c r="A73" s="28" t="n">
        <x:v>40630</x:v>
      </x:c>
      <x:c r="B73" s="23" t="n">
        <x:v>17</x:v>
      </x:c>
      <x:c r="C73" s="23" t="str">
        <x:v>85123A</x:v>
      </x:c>
      <x:c r="D73" s="23" t="str">
        <x:v>WHITE HANGING HEART T-LIGHT HOLDER</x:v>
      </x:c>
      <x:c r="E73" s="34" t="n">
        <x:v>582</x:v>
      </x:c>
      <x:c r="F73" s="55" t="n">
        <x:v>1602.74</x:v>
      </x:c>
      <x:c r="G73" s="58" t="n">
        <x:f>E72</x:f>
        <x:v>365</x:v>
      </x:c>
      <x:c r="H73" s="58" t="n">
        <x:f>AVERAGE(E69:E72)</x:f>
        <x:v>415.75</x:v>
      </x:c>
      <x:c r="I73" s="58" t="n">
        <x:f>AVERAGE(E65:E72)</x:f>
        <x:v>441.5</x:v>
      </x:c>
      <x:c r="J73" s="58" t="n">
        <x:f>IF(G73="","",ABS(E73-G73))</x:f>
        <x:v>217</x:v>
      </x:c>
      <x:c r="K73" s="58" t="n">
        <x:f>IF(H73="","",ABS(E73-H73))</x:f>
        <x:v>166.25</x:v>
      </x:c>
      <x:c r="L73" s="58" t="n">
        <x:f>IF(I73="","",ABS(E73-I73))</x:f>
        <x:v>140.5</x:v>
      </x:c>
      <x:c r="M73" s="23" t="str">
        <x:f>IF(B73&gt;44,"Validation","Training")</x:f>
        <x:v>Training</x:v>
      </x:c>
      <x:c r="N73" s="61" t="n">
        <x:f>IF(OR(H73="",E73=0),"",K73/E73)</x:f>
        <x:v>0.2856529209621993</x:v>
      </x:c>
    </x:row>
    <x:row r="74">
      <x:c r="A74" s="28" t="n">
        <x:v>40637</x:v>
      </x:c>
      <x:c r="B74" s="23" t="n">
        <x:v>18</x:v>
      </x:c>
      <x:c r="C74" s="23" t="str">
        <x:v>85123A</x:v>
      </x:c>
      <x:c r="D74" s="23" t="str">
        <x:v>WHITE HANGING HEART T-LIGHT HOLDER</x:v>
      </x:c>
      <x:c r="E74" s="34" t="n">
        <x:v>374</x:v>
      </x:c>
      <x:c r="F74" s="55" t="n">
        <x:v>1073.42</x:v>
      </x:c>
      <x:c r="G74" s="58" t="n">
        <x:f>E73</x:f>
        <x:v>582</x:v>
      </x:c>
      <x:c r="H74" s="58" t="n">
        <x:f>AVERAGE(E70:E73)</x:f>
        <x:v>466.25</x:v>
      </x:c>
      <x:c r="I74" s="58" t="n">
        <x:f>AVERAGE(E66:E73)</x:f>
        <x:v>441</x:v>
      </x:c>
      <x:c r="J74" s="58" t="n">
        <x:f>IF(G74="","",ABS(E74-G74))</x:f>
        <x:v>208</x:v>
      </x:c>
      <x:c r="K74" s="58" t="n">
        <x:f>IF(H74="","",ABS(E74-H74))</x:f>
        <x:v>92.25</x:v>
      </x:c>
      <x:c r="L74" s="58" t="n">
        <x:f>IF(I74="","",ABS(E74-I74))</x:f>
        <x:v>67</x:v>
      </x:c>
      <x:c r="M74" s="23" t="str">
        <x:f>IF(B74&gt;44,"Validation","Training")</x:f>
        <x:v>Training</x:v>
      </x:c>
      <x:c r="N74" s="61" t="n">
        <x:f>IF(OR(H74="",E74=0),"",K74/E74)</x:f>
        <x:v>0.24665775401069517</x:v>
      </x:c>
    </x:row>
    <x:row r="75">
      <x:c r="A75" s="28" t="n">
        <x:v>40644</x:v>
      </x:c>
      <x:c r="B75" s="23" t="n">
        <x:v>19</x:v>
      </x:c>
      <x:c r="C75" s="23" t="str">
        <x:v>85123A</x:v>
      </x:c>
      <x:c r="D75" s="23" t="str">
        <x:v>WHITE HANGING HEART T-LIGHT HOLDER</x:v>
      </x:c>
      <x:c r="E75" s="34" t="n">
        <x:v>474</x:v>
      </x:c>
      <x:c r="F75" s="55" t="n">
        <x:v>1295.9</x:v>
      </x:c>
      <x:c r="G75" s="58" t="n">
        <x:f>E74</x:f>
        <x:v>374</x:v>
      </x:c>
      <x:c r="H75" s="58" t="n">
        <x:f>AVERAGE(E71:E74)</x:f>
        <x:v>446.25</x:v>
      </x:c>
      <x:c r="I75" s="58" t="n">
        <x:f>AVERAGE(E67:E74)</x:f>
        <x:v>423.125</x:v>
      </x:c>
      <x:c r="J75" s="58" t="n">
        <x:f>IF(G75="","",ABS(E75-G75))</x:f>
        <x:v>100</x:v>
      </x:c>
      <x:c r="K75" s="58" t="n">
        <x:f>IF(H75="","",ABS(E75-H75))</x:f>
        <x:v>27.75</x:v>
      </x:c>
      <x:c r="L75" s="58" t="n">
        <x:f>IF(I75="","",ABS(E75-I75))</x:f>
        <x:v>50.875</x:v>
      </x:c>
      <x:c r="M75" s="23" t="str">
        <x:f>IF(B75&gt;44,"Validation","Training")</x:f>
        <x:v>Training</x:v>
      </x:c>
      <x:c r="N75" s="61" t="n">
        <x:f>IF(OR(H75="",E75=0),"",K75/E75)</x:f>
        <x:v>0.058544303797468354</x:v>
      </x:c>
    </x:row>
    <x:row r="76">
      <x:c r="A76" s="28" t="n">
        <x:v>40651</x:v>
      </x:c>
      <x:c r="B76" s="23" t="n">
        <x:v>20</x:v>
      </x:c>
      <x:c r="C76" s="23" t="str">
        <x:v>85123A</x:v>
      </x:c>
      <x:c r="D76" s="23" t="str">
        <x:v>WHITE HANGING HEART T-LIGHT HOLDER</x:v>
      </x:c>
      <x:c r="E76" s="34" t="n">
        <x:v>2422</x:v>
      </x:c>
      <x:c r="F76" s="55" t="n">
        <x:v>6087.56</x:v>
      </x:c>
      <x:c r="G76" s="58" t="n">
        <x:f>E75</x:f>
        <x:v>474</x:v>
      </x:c>
      <x:c r="H76" s="58" t="n">
        <x:f>AVERAGE(E72:E75)</x:f>
        <x:v>448.75</x:v>
      </x:c>
      <x:c r="I76" s="58" t="n">
        <x:f>AVERAGE(E68:E75)</x:f>
        <x:v>436.75</x:v>
      </x:c>
      <x:c r="J76" s="58" t="n">
        <x:f>IF(G76="","",ABS(E76-G76))</x:f>
        <x:v>1948</x:v>
      </x:c>
      <x:c r="K76" s="58" t="n">
        <x:f>IF(H76="","",ABS(E76-H76))</x:f>
        <x:v>1973.25</x:v>
      </x:c>
      <x:c r="L76" s="58" t="n">
        <x:f>IF(I76="","",ABS(E76-I76))</x:f>
        <x:v>1985.25</x:v>
      </x:c>
      <x:c r="M76" s="23" t="str">
        <x:f>IF(B76&gt;44,"Validation","Training")</x:f>
        <x:v>Training</x:v>
      </x:c>
      <x:c r="N76" s="61" t="n">
        <x:f>IF(OR(H76="",E76=0),"",K76/E76)</x:f>
        <x:v>0.8147192402972749</x:v>
      </x:c>
    </x:row>
    <x:row r="77">
      <x:c r="A77" s="28" t="n">
        <x:v>40658</x:v>
      </x:c>
      <x:c r="B77" s="23" t="n">
        <x:v>21</x:v>
      </x:c>
      <x:c r="C77" s="23" t="str">
        <x:v>85123A</x:v>
      </x:c>
      <x:c r="D77" s="23" t="str">
        <x:v>WHITE HANGING HEART T-LIGHT HOLDER</x:v>
      </x:c>
      <x:c r="E77" s="34" t="n">
        <x:v>375</x:v>
      </x:c>
      <x:c r="F77" s="55" t="n">
        <x:v>1028.01</x:v>
      </x:c>
      <x:c r="G77" s="58" t="n">
        <x:f>E76</x:f>
        <x:v>2422</x:v>
      </x:c>
      <x:c r="H77" s="58" t="n">
        <x:f>AVERAGE(E73:E76)</x:f>
        <x:v>963</x:v>
      </x:c>
      <x:c r="I77" s="58" t="n">
        <x:f>AVERAGE(E69:E76)</x:f>
        <x:v>689.375</x:v>
      </x:c>
      <x:c r="J77" s="58" t="n">
        <x:f>IF(G77="","",ABS(E77-G77))</x:f>
        <x:v>2047</x:v>
      </x:c>
      <x:c r="K77" s="58" t="n">
        <x:f>IF(H77="","",ABS(E77-H77))</x:f>
        <x:v>588</x:v>
      </x:c>
      <x:c r="L77" s="58" t="n">
        <x:f>IF(I77="","",ABS(E77-I77))</x:f>
        <x:v>314.375</x:v>
      </x:c>
      <x:c r="M77" s="23" t="str">
        <x:f>IF(B77&gt;44,"Validation","Training")</x:f>
        <x:v>Training</x:v>
      </x:c>
      <x:c r="N77" s="61" t="n">
        <x:f>IF(OR(H77="",E77=0),"",K77/E77)</x:f>
        <x:v>1.568</x:v>
      </x:c>
    </x:row>
    <x:row r="78">
      <x:c r="A78" s="28" t="n">
        <x:v>40665</x:v>
      </x:c>
      <x:c r="B78" s="23" t="n">
        <x:v>22</x:v>
      </x:c>
      <x:c r="C78" s="23" t="str">
        <x:v>85123A</x:v>
      </x:c>
      <x:c r="D78" s="23" t="str">
        <x:v>WHITE HANGING HEART T-LIGHT HOLDER</x:v>
      </x:c>
      <x:c r="E78" s="34" t="n">
        <x:v>1144</x:v>
      </x:c>
      <x:c r="F78" s="55" t="n">
        <x:v>3057.6</x:v>
      </x:c>
      <x:c r="G78" s="58" t="n">
        <x:f>E77</x:f>
        <x:v>375</x:v>
      </x:c>
      <x:c r="H78" s="58" t="n">
        <x:f>AVERAGE(E74:E77)</x:f>
        <x:v>911.25</x:v>
      </x:c>
      <x:c r="I78" s="58" t="n">
        <x:f>AVERAGE(E70:E77)</x:f>
        <x:v>688.75</x:v>
      </x:c>
      <x:c r="J78" s="58" t="n">
        <x:f>IF(G78="","",ABS(E78-G78))</x:f>
        <x:v>769</x:v>
      </x:c>
      <x:c r="K78" s="58" t="n">
        <x:f>IF(H78="","",ABS(E78-H78))</x:f>
        <x:v>232.75</x:v>
      </x:c>
      <x:c r="L78" s="58" t="n">
        <x:f>IF(I78="","",ABS(E78-I78))</x:f>
        <x:v>455.25</x:v>
      </x:c>
      <x:c r="M78" s="23" t="str">
        <x:f>IF(B78&gt;44,"Validation","Training")</x:f>
        <x:v>Training</x:v>
      </x:c>
      <x:c r="N78" s="61" t="n">
        <x:f>IF(OR(H78="",E78=0),"",K78/E78)</x:f>
        <x:v>0.20345279720279721</x:v>
      </x:c>
    </x:row>
    <x:row r="79">
      <x:c r="A79" s="28" t="n">
        <x:v>40672</x:v>
      </x:c>
      <x:c r="B79" s="23" t="n">
        <x:v>23</x:v>
      </x:c>
      <x:c r="C79" s="23" t="str">
        <x:v>85123A</x:v>
      </x:c>
      <x:c r="D79" s="23" t="str">
        <x:v>WHITE HANGING HEART T-LIGHT HOLDER</x:v>
      </x:c>
      <x:c r="E79" s="34" t="n">
        <x:v>873</x:v>
      </x:c>
      <x:c r="F79" s="55" t="n">
        <x:v>2377.63</x:v>
      </x:c>
      <x:c r="G79" s="58" t="n">
        <x:f>E78</x:f>
        <x:v>1144</x:v>
      </x:c>
      <x:c r="H79" s="58" t="n">
        <x:f>AVERAGE(E75:E78)</x:f>
        <x:v>1103.75</x:v>
      </x:c>
      <x:c r="I79" s="58" t="n">
        <x:f>AVERAGE(E71:E78)</x:f>
        <x:v>775</x:v>
      </x:c>
      <x:c r="J79" s="58" t="n">
        <x:f>IF(G79="","",ABS(E79-G79))</x:f>
        <x:v>271</x:v>
      </x:c>
      <x:c r="K79" s="58" t="n">
        <x:f>IF(H79="","",ABS(E79-H79))</x:f>
        <x:v>230.75</x:v>
      </x:c>
      <x:c r="L79" s="58" t="n">
        <x:f>IF(I79="","",ABS(E79-I79))</x:f>
        <x:v>98</x:v>
      </x:c>
      <x:c r="M79" s="23" t="str">
        <x:f>IF(B79&gt;44,"Validation","Training")</x:f>
        <x:v>Training</x:v>
      </x:c>
      <x:c r="N79" s="61" t="n">
        <x:f>IF(OR(H79="",E79=0),"",K79/E79)</x:f>
        <x:v>0.2643184421534937</x:v>
      </x:c>
    </x:row>
    <x:row r="80">
      <x:c r="A80" s="28" t="n">
        <x:v>40679</x:v>
      </x:c>
      <x:c r="B80" s="23" t="n">
        <x:v>24</x:v>
      </x:c>
      <x:c r="C80" s="23" t="str">
        <x:v>85123A</x:v>
      </x:c>
      <x:c r="D80" s="23" t="str">
        <x:v>WHITE HANGING HEART T-LIGHT HOLDER</x:v>
      </x:c>
      <x:c r="E80" s="34" t="n">
        <x:v>783</x:v>
      </x:c>
      <x:c r="F80" s="55" t="n">
        <x:v>2155.53</x:v>
      </x:c>
      <x:c r="G80" s="58" t="n">
        <x:f>E79</x:f>
        <x:v>873</x:v>
      </x:c>
      <x:c r="H80" s="58" t="n">
        <x:f>AVERAGE(E76:E79)</x:f>
        <x:v>1203.5</x:v>
      </x:c>
      <x:c r="I80" s="58" t="n">
        <x:f>AVERAGE(E72:E79)</x:f>
        <x:v>826.125</x:v>
      </x:c>
      <x:c r="J80" s="58" t="n">
        <x:f>IF(G80="","",ABS(E80-G80))</x:f>
        <x:v>90</x:v>
      </x:c>
      <x:c r="K80" s="58" t="n">
        <x:f>IF(H80="","",ABS(E80-H80))</x:f>
        <x:v>420.5</x:v>
      </x:c>
      <x:c r="L80" s="58" t="n">
        <x:f>IF(I80="","",ABS(E80-I80))</x:f>
        <x:v>43.125</x:v>
      </x:c>
      <x:c r="M80" s="23" t="str">
        <x:f>IF(B80&gt;44,"Validation","Training")</x:f>
        <x:v>Training</x:v>
      </x:c>
      <x:c r="N80" s="61" t="n">
        <x:f>IF(OR(H80="",E80=0),"",K80/E80)</x:f>
        <x:v>0.5370370370370371</x:v>
      </x:c>
    </x:row>
    <x:row r="81">
      <x:c r="A81" s="28" t="n">
        <x:v>40686</x:v>
      </x:c>
      <x:c r="B81" s="23" t="n">
        <x:v>25</x:v>
      </x:c>
      <x:c r="C81" s="23" t="str">
        <x:v>85123A</x:v>
      </x:c>
      <x:c r="D81" s="23" t="str">
        <x:v>WHITE HANGING HEART T-LIGHT HOLDER</x:v>
      </x:c>
      <x:c r="E81" s="34" t="n">
        <x:v>1026</x:v>
      </x:c>
      <x:c r="F81" s="55" t="n">
        <x:v>3154.66</x:v>
      </x:c>
      <x:c r="G81" s="58" t="n">
        <x:f>E80</x:f>
        <x:v>783</x:v>
      </x:c>
      <x:c r="H81" s="58" t="n">
        <x:f>AVERAGE(E77:E80)</x:f>
        <x:v>793.75</x:v>
      </x:c>
      <x:c r="I81" s="58" t="n">
        <x:f>AVERAGE(E73:E80)</x:f>
        <x:v>878.375</x:v>
      </x:c>
      <x:c r="J81" s="58" t="n">
        <x:f>IF(G81="","",ABS(E81-G81))</x:f>
        <x:v>243</x:v>
      </x:c>
      <x:c r="K81" s="58" t="n">
        <x:f>IF(H81="","",ABS(E81-H81))</x:f>
        <x:v>232.25</x:v>
      </x:c>
      <x:c r="L81" s="58" t="n">
        <x:f>IF(I81="","",ABS(E81-I81))</x:f>
        <x:v>147.625</x:v>
      </x:c>
      <x:c r="M81" s="23" t="str">
        <x:f>IF(B81&gt;44,"Validation","Training")</x:f>
        <x:v>Training</x:v>
      </x:c>
      <x:c r="N81" s="61" t="n">
        <x:f>IF(OR(H81="",E81=0),"",K81/E81)</x:f>
        <x:v>0.226364522417154</x:v>
      </x:c>
    </x:row>
    <x:row r="82">
      <x:c r="A82" s="28" t="n">
        <x:v>40693</x:v>
      </x:c>
      <x:c r="B82" s="23" t="n">
        <x:v>26</x:v>
      </x:c>
      <x:c r="C82" s="23" t="str">
        <x:v>85123A</x:v>
      </x:c>
      <x:c r="D82" s="23" t="str">
        <x:v>WHITE HANGING HEART T-LIGHT HOLDER</x:v>
      </x:c>
      <x:c r="E82" s="34" t="n">
        <x:v>628</x:v>
      </x:c>
      <x:c r="F82" s="55" t="n">
        <x:v>1684.48</x:v>
      </x:c>
      <x:c r="G82" s="58" t="n">
        <x:f>E81</x:f>
        <x:v>1026</x:v>
      </x:c>
      <x:c r="H82" s="58" t="n">
        <x:f>AVERAGE(E78:E81)</x:f>
        <x:v>956.5</x:v>
      </x:c>
      <x:c r="I82" s="58" t="n">
        <x:f>AVERAGE(E74:E81)</x:f>
        <x:v>933.875</x:v>
      </x:c>
      <x:c r="J82" s="58" t="n">
        <x:f>IF(G82="","",ABS(E82-G82))</x:f>
        <x:v>398</x:v>
      </x:c>
      <x:c r="K82" s="58" t="n">
        <x:f>IF(H82="","",ABS(E82-H82))</x:f>
        <x:v>328.5</x:v>
      </x:c>
      <x:c r="L82" s="58" t="n">
        <x:f>IF(I82="","",ABS(E82-I82))</x:f>
        <x:v>305.875</x:v>
      </x:c>
      <x:c r="M82" s="23" t="str">
        <x:f>IF(B82&gt;44,"Validation","Training")</x:f>
        <x:v>Training</x:v>
      </x:c>
      <x:c r="N82" s="61" t="n">
        <x:f>IF(OR(H82="",E82=0),"",K82/E82)</x:f>
        <x:v>0.5230891719745223</x:v>
      </x:c>
    </x:row>
    <x:row r="83">
      <x:c r="A83" s="28" t="n">
        <x:v>40700</x:v>
      </x:c>
      <x:c r="B83" s="23" t="n">
        <x:v>27</x:v>
      </x:c>
      <x:c r="C83" s="23" t="str">
        <x:v>85123A</x:v>
      </x:c>
      <x:c r="D83" s="23" t="str">
        <x:v>WHITE HANGING HEART T-LIGHT HOLDER</x:v>
      </x:c>
      <x:c r="E83" s="34" t="n">
        <x:v>389</x:v>
      </x:c>
      <x:c r="F83" s="55" t="n">
        <x:v>1079.27</x:v>
      </x:c>
      <x:c r="G83" s="58" t="n">
        <x:f>E82</x:f>
        <x:v>628</x:v>
      </x:c>
      <x:c r="H83" s="58" t="n">
        <x:f>AVERAGE(E79:E82)</x:f>
        <x:v>827.5</x:v>
      </x:c>
      <x:c r="I83" s="58" t="n">
        <x:f>AVERAGE(E75:E82)</x:f>
        <x:v>965.625</x:v>
      </x:c>
      <x:c r="J83" s="58" t="n">
        <x:f>IF(G83="","",ABS(E83-G83))</x:f>
        <x:v>239</x:v>
      </x:c>
      <x:c r="K83" s="58" t="n">
        <x:f>IF(H83="","",ABS(E83-H83))</x:f>
        <x:v>438.5</x:v>
      </x:c>
      <x:c r="L83" s="58" t="n">
        <x:f>IF(I83="","",ABS(E83-I83))</x:f>
        <x:v>576.625</x:v>
      </x:c>
      <x:c r="M83" s="23" t="str">
        <x:f>IF(B83&gt;44,"Validation","Training")</x:f>
        <x:v>Training</x:v>
      </x:c>
      <x:c r="N83" s="61" t="n">
        <x:f>IF(OR(H83="",E83=0),"",K83/E83)</x:f>
        <x:v>1.1272493573264781</x:v>
      </x:c>
    </x:row>
    <x:row r="84">
      <x:c r="A84" s="28" t="n">
        <x:v>40707</x:v>
      </x:c>
      <x:c r="B84" s="23" t="n">
        <x:v>28</x:v>
      </x:c>
      <x:c r="C84" s="23" t="str">
        <x:v>85123A</x:v>
      </x:c>
      <x:c r="D84" s="23" t="str">
        <x:v>WHITE HANGING HEART T-LIGHT HOLDER</x:v>
      </x:c>
      <x:c r="E84" s="34" t="n">
        <x:v>389</x:v>
      </x:c>
      <x:c r="F84" s="55" t="n">
        <x:v>1053.67</x:v>
      </x:c>
      <x:c r="G84" s="58" t="n">
        <x:f>E83</x:f>
        <x:v>389</x:v>
      </x:c>
      <x:c r="H84" s="58" t="n">
        <x:f>AVERAGE(E80:E83)</x:f>
        <x:v>706.5</x:v>
      </x:c>
      <x:c r="I84" s="58" t="n">
        <x:f>AVERAGE(E76:E83)</x:f>
        <x:v>955</x:v>
      </x:c>
      <x:c r="J84" s="58" t="n">
        <x:f>IF(G84="","",ABS(E84-G84))</x:f>
        <x:v>0</x:v>
      </x:c>
      <x:c r="K84" s="58" t="n">
        <x:f>IF(H84="","",ABS(E84-H84))</x:f>
        <x:v>317.5</x:v>
      </x:c>
      <x:c r="L84" s="58" t="n">
        <x:f>IF(I84="","",ABS(E84-I84))</x:f>
        <x:v>566</x:v>
      </x:c>
      <x:c r="M84" s="23" t="str">
        <x:f>IF(B84&gt;44,"Validation","Training")</x:f>
        <x:v>Training</x:v>
      </x:c>
      <x:c r="N84" s="61" t="n">
        <x:f>IF(OR(H84="",E84=0),"",K84/E84)</x:f>
        <x:v>0.8161953727506427</x:v>
      </x:c>
    </x:row>
    <x:row r="85">
      <x:c r="A85" s="28" t="n">
        <x:v>40714</x:v>
      </x:c>
      <x:c r="B85" s="23" t="n">
        <x:v>29</x:v>
      </x:c>
      <x:c r="C85" s="23" t="str">
        <x:v>85123A</x:v>
      </x:c>
      <x:c r="D85" s="23" t="str">
        <x:v>WHITE HANGING HEART T-LIGHT HOLDER</x:v>
      </x:c>
      <x:c r="E85" s="34" t="n">
        <x:v>236</x:v>
      </x:c>
      <x:c r="F85" s="55" t="n">
        <x:v>744.44</x:v>
      </x:c>
      <x:c r="G85" s="58" t="n">
        <x:f>E84</x:f>
        <x:v>389</x:v>
      </x:c>
      <x:c r="H85" s="58" t="n">
        <x:f>AVERAGE(E81:E84)</x:f>
        <x:v>608</x:v>
      </x:c>
      <x:c r="I85" s="58" t="n">
        <x:f>AVERAGE(E77:E84)</x:f>
        <x:v>700.875</x:v>
      </x:c>
      <x:c r="J85" s="58" t="n">
        <x:f>IF(G85="","",ABS(E85-G85))</x:f>
        <x:v>153</x:v>
      </x:c>
      <x:c r="K85" s="58" t="n">
        <x:f>IF(H85="","",ABS(E85-H85))</x:f>
        <x:v>372</x:v>
      </x:c>
      <x:c r="L85" s="58" t="n">
        <x:f>IF(I85="","",ABS(E85-I85))</x:f>
        <x:v>464.875</x:v>
      </x:c>
      <x:c r="M85" s="23" t="str">
        <x:f>IF(B85&gt;44,"Validation","Training")</x:f>
        <x:v>Training</x:v>
      </x:c>
      <x:c r="N85" s="61" t="n">
        <x:f>IF(OR(H85="",E85=0),"",K85/E85)</x:f>
        <x:v>1.576271186440678</x:v>
      </x:c>
    </x:row>
    <x:row r="86">
      <x:c r="A86" s="28" t="n">
        <x:v>40721</x:v>
      </x:c>
      <x:c r="B86" s="23" t="n">
        <x:v>30</x:v>
      </x:c>
      <x:c r="C86" s="23" t="str">
        <x:v>85123A</x:v>
      </x:c>
      <x:c r="D86" s="23" t="str">
        <x:v>WHITE HANGING HEART T-LIGHT HOLDER</x:v>
      </x:c>
      <x:c r="E86" s="34" t="n">
        <x:v>258</x:v>
      </x:c>
      <x:c r="F86" s="55" t="n">
        <x:v>722.7</x:v>
      </x:c>
      <x:c r="G86" s="58" t="n">
        <x:f>E85</x:f>
        <x:v>236</x:v>
      </x:c>
      <x:c r="H86" s="58" t="n">
        <x:f>AVERAGE(E82:E85)</x:f>
        <x:v>410.5</x:v>
      </x:c>
      <x:c r="I86" s="58" t="n">
        <x:f>AVERAGE(E78:E85)</x:f>
        <x:v>683.5</x:v>
      </x:c>
      <x:c r="J86" s="58" t="n">
        <x:f>IF(G86="","",ABS(E86-G86))</x:f>
        <x:v>22</x:v>
      </x:c>
      <x:c r="K86" s="58" t="n">
        <x:f>IF(H86="","",ABS(E86-H86))</x:f>
        <x:v>152.5</x:v>
      </x:c>
      <x:c r="L86" s="58" t="n">
        <x:f>IF(I86="","",ABS(E86-I86))</x:f>
        <x:v>425.5</x:v>
      </x:c>
      <x:c r="M86" s="23" t="str">
        <x:f>IF(B86&gt;44,"Validation","Training")</x:f>
        <x:v>Training</x:v>
      </x:c>
      <x:c r="N86" s="61" t="n">
        <x:f>IF(OR(H86="",E86=0),"",K86/E86)</x:f>
        <x:v>0.5910852713178295</x:v>
      </x:c>
    </x:row>
    <x:row r="87">
      <x:c r="A87" s="28" t="n">
        <x:v>40728</x:v>
      </x:c>
      <x:c r="B87" s="23" t="n">
        <x:v>31</x:v>
      </x:c>
      <x:c r="C87" s="23" t="str">
        <x:v>85123A</x:v>
      </x:c>
      <x:c r="D87" s="23" t="str">
        <x:v>WHITE HANGING HEART T-LIGHT HOLDER</x:v>
      </x:c>
      <x:c r="E87" s="34" t="n">
        <x:v>258</x:v>
      </x:c>
      <x:c r="F87" s="55" t="n">
        <x:v>719.82</x:v>
      </x:c>
      <x:c r="G87" s="58" t="n">
        <x:f>E86</x:f>
        <x:v>258</x:v>
      </x:c>
      <x:c r="H87" s="58" t="n">
        <x:f>AVERAGE(E83:E86)</x:f>
        <x:v>318</x:v>
      </x:c>
      <x:c r="I87" s="58" t="n">
        <x:f>AVERAGE(E79:E86)</x:f>
        <x:v>572.75</x:v>
      </x:c>
      <x:c r="J87" s="58" t="n">
        <x:f>IF(G87="","",ABS(E87-G87))</x:f>
        <x:v>0</x:v>
      </x:c>
      <x:c r="K87" s="58" t="n">
        <x:f>IF(H87="","",ABS(E87-H87))</x:f>
        <x:v>60</x:v>
      </x:c>
      <x:c r="L87" s="58" t="n">
        <x:f>IF(I87="","",ABS(E87-I87))</x:f>
        <x:v>314.75</x:v>
      </x:c>
      <x:c r="M87" s="23" t="str">
        <x:f>IF(B87&gt;44,"Validation","Training")</x:f>
        <x:v>Training</x:v>
      </x:c>
      <x:c r="N87" s="61" t="n">
        <x:f>IF(OR(H87="",E87=0),"",K87/E87)</x:f>
        <x:v>0.23255813953488372</x:v>
      </x:c>
    </x:row>
    <x:row r="88">
      <x:c r="A88" s="28" t="n">
        <x:v>40735</x:v>
      </x:c>
      <x:c r="B88" s="23" t="n">
        <x:v>32</x:v>
      </x:c>
      <x:c r="C88" s="23" t="str">
        <x:v>85123A</x:v>
      </x:c>
      <x:c r="D88" s="23" t="str">
        <x:v>WHITE HANGING HEART T-LIGHT HOLDER</x:v>
      </x:c>
      <x:c r="E88" s="34" t="n">
        <x:v>1195</x:v>
      </x:c>
      <x:c r="F88" s="55" t="n">
        <x:v>3246.61</x:v>
      </x:c>
      <x:c r="G88" s="58" t="n">
        <x:f>E87</x:f>
        <x:v>258</x:v>
      </x:c>
      <x:c r="H88" s="58" t="n">
        <x:f>AVERAGE(E84:E87)</x:f>
        <x:v>285.25</x:v>
      </x:c>
      <x:c r="I88" s="58" t="n">
        <x:f>AVERAGE(E80:E87)</x:f>
        <x:v>495.875</x:v>
      </x:c>
      <x:c r="J88" s="58" t="n">
        <x:f>IF(G88="","",ABS(E88-G88))</x:f>
        <x:v>937</x:v>
      </x:c>
      <x:c r="K88" s="58" t="n">
        <x:f>IF(H88="","",ABS(E88-H88))</x:f>
        <x:v>909.75</x:v>
      </x:c>
      <x:c r="L88" s="58" t="n">
        <x:f>IF(I88="","",ABS(E88-I88))</x:f>
        <x:v>699.125</x:v>
      </x:c>
      <x:c r="M88" s="23" t="str">
        <x:f>IF(B88&gt;44,"Validation","Training")</x:f>
        <x:v>Training</x:v>
      </x:c>
      <x:c r="N88" s="61" t="n">
        <x:f>IF(OR(H88="",E88=0),"",K88/E88)</x:f>
        <x:v>0.7612970711297071</x:v>
      </x:c>
    </x:row>
    <x:row r="89">
      <x:c r="A89" s="28" t="n">
        <x:v>40742</x:v>
      </x:c>
      <x:c r="B89" s="23" t="n">
        <x:v>33</x:v>
      </x:c>
      <x:c r="C89" s="23" t="str">
        <x:v>85123A</x:v>
      </x:c>
      <x:c r="D89" s="23" t="str">
        <x:v>WHITE HANGING HEART T-LIGHT HOLDER</x:v>
      </x:c>
      <x:c r="E89" s="34" t="n">
        <x:v>719</x:v>
      </x:c>
      <x:c r="F89" s="55" t="n">
        <x:v>1950.69</x:v>
      </x:c>
      <x:c r="G89" s="58" t="n">
        <x:f>E88</x:f>
        <x:v>1195</x:v>
      </x:c>
      <x:c r="H89" s="58" t="n">
        <x:f>AVERAGE(E85:E88)</x:f>
        <x:v>486.75</x:v>
      </x:c>
      <x:c r="I89" s="58" t="n">
        <x:f>AVERAGE(E81:E88)</x:f>
        <x:v>547.375</x:v>
      </x:c>
      <x:c r="J89" s="58" t="n">
        <x:f>IF(G89="","",ABS(E89-G89))</x:f>
        <x:v>476</x:v>
      </x:c>
      <x:c r="K89" s="58" t="n">
        <x:f>IF(H89="","",ABS(E89-H89))</x:f>
        <x:v>232.25</x:v>
      </x:c>
      <x:c r="L89" s="58" t="n">
        <x:f>IF(I89="","",ABS(E89-I89))</x:f>
        <x:v>171.625</x:v>
      </x:c>
      <x:c r="M89" s="23" t="str">
        <x:f>IF(B89&gt;44,"Validation","Training")</x:f>
        <x:v>Training</x:v>
      </x:c>
      <x:c r="N89" s="61" t="n">
        <x:f>IF(OR(H89="",E89=0),"",K89/E89)</x:f>
        <x:v>0.32301808066759385</x:v>
      </x:c>
    </x:row>
    <x:row r="90">
      <x:c r="A90" s="28" t="n">
        <x:v>40749</x:v>
      </x:c>
      <x:c r="B90" s="23" t="n">
        <x:v>34</x:v>
      </x:c>
      <x:c r="C90" s="23" t="str">
        <x:v>85123A</x:v>
      </x:c>
      <x:c r="D90" s="23" t="str">
        <x:v>WHITE HANGING HEART T-LIGHT HOLDER</x:v>
      </x:c>
      <x:c r="E90" s="34" t="n">
        <x:v>780</x:v>
      </x:c>
      <x:c r="F90" s="55" t="n">
        <x:v>2418.84</x:v>
      </x:c>
      <x:c r="G90" s="58" t="n">
        <x:f>E89</x:f>
        <x:v>719</x:v>
      </x:c>
      <x:c r="H90" s="58" t="n">
        <x:f>AVERAGE(E86:E89)</x:f>
        <x:v>607.5</x:v>
      </x:c>
      <x:c r="I90" s="58" t="n">
        <x:f>AVERAGE(E82:E89)</x:f>
        <x:v>509</x:v>
      </x:c>
      <x:c r="J90" s="58" t="n">
        <x:f>IF(G90="","",ABS(E90-G90))</x:f>
        <x:v>61</x:v>
      </x:c>
      <x:c r="K90" s="58" t="n">
        <x:f>IF(H90="","",ABS(E90-H90))</x:f>
        <x:v>172.5</x:v>
      </x:c>
      <x:c r="L90" s="58" t="n">
        <x:f>IF(I90="","",ABS(E90-I90))</x:f>
        <x:v>271</x:v>
      </x:c>
      <x:c r="M90" s="23" t="str">
        <x:f>IF(B90&gt;44,"Validation","Training")</x:f>
        <x:v>Training</x:v>
      </x:c>
      <x:c r="N90" s="61" t="n">
        <x:f>IF(OR(H90="",E90=0),"",K90/E90)</x:f>
        <x:v>0.22115384615384615</x:v>
      </x:c>
    </x:row>
    <x:row r="91">
      <x:c r="A91" s="28" t="n">
        <x:v>40756</x:v>
      </x:c>
      <x:c r="B91" s="23" t="n">
        <x:v>35</x:v>
      </x:c>
      <x:c r="C91" s="23" t="str">
        <x:v>85123A</x:v>
      </x:c>
      <x:c r="D91" s="23" t="str">
        <x:v>WHITE HANGING HEART T-LIGHT HOLDER</x:v>
      </x:c>
      <x:c r="E91" s="34" t="n">
        <x:v>441</x:v>
      </x:c>
      <x:c r="F91" s="55" t="n">
        <x:v>1246.87</x:v>
      </x:c>
      <x:c r="G91" s="58" t="n">
        <x:f>E90</x:f>
        <x:v>780</x:v>
      </x:c>
      <x:c r="H91" s="58" t="n">
        <x:f>AVERAGE(E87:E90)</x:f>
        <x:v>738</x:v>
      </x:c>
      <x:c r="I91" s="58" t="n">
        <x:f>AVERAGE(E83:E90)</x:f>
        <x:v>528</x:v>
      </x:c>
      <x:c r="J91" s="58" t="n">
        <x:f>IF(G91="","",ABS(E91-G91))</x:f>
        <x:v>339</x:v>
      </x:c>
      <x:c r="K91" s="58" t="n">
        <x:f>IF(H91="","",ABS(E91-H91))</x:f>
        <x:v>297</x:v>
      </x:c>
      <x:c r="L91" s="58" t="n">
        <x:f>IF(I91="","",ABS(E91-I91))</x:f>
        <x:v>87</x:v>
      </x:c>
      <x:c r="M91" s="23" t="str">
        <x:f>IF(B91&gt;44,"Validation","Training")</x:f>
        <x:v>Training</x:v>
      </x:c>
      <x:c r="N91" s="61" t="n">
        <x:f>IF(OR(H91="",E91=0),"",K91/E91)</x:f>
        <x:v>0.673469387755102</x:v>
      </x:c>
    </x:row>
    <x:row r="92">
      <x:c r="A92" s="28" t="n">
        <x:v>40763</x:v>
      </x:c>
      <x:c r="B92" s="23" t="n">
        <x:v>36</x:v>
      </x:c>
      <x:c r="C92" s="23" t="str">
        <x:v>85123A</x:v>
      </x:c>
      <x:c r="D92" s="23" t="str">
        <x:v>WHITE HANGING HEART T-LIGHT HOLDER</x:v>
      </x:c>
      <x:c r="E92" s="34" t="n">
        <x:v>466</x:v>
      </x:c>
      <x:c r="F92" s="55" t="n">
        <x:v>1252.38</x:v>
      </x:c>
      <x:c r="G92" s="58" t="n">
        <x:f>E91</x:f>
        <x:v>441</x:v>
      </x:c>
      <x:c r="H92" s="58" t="n">
        <x:f>AVERAGE(E88:E91)</x:f>
        <x:v>783.75</x:v>
      </x:c>
      <x:c r="I92" s="58" t="n">
        <x:f>AVERAGE(E84:E91)</x:f>
        <x:v>534.5</x:v>
      </x:c>
      <x:c r="J92" s="58" t="n">
        <x:f>IF(G92="","",ABS(E92-G92))</x:f>
        <x:v>25</x:v>
      </x:c>
      <x:c r="K92" s="58" t="n">
        <x:f>IF(H92="","",ABS(E92-H92))</x:f>
        <x:v>317.75</x:v>
      </x:c>
      <x:c r="L92" s="58" t="n">
        <x:f>IF(I92="","",ABS(E92-I92))</x:f>
        <x:v>68.5</x:v>
      </x:c>
      <x:c r="M92" s="23" t="str">
        <x:f>IF(B92&gt;44,"Validation","Training")</x:f>
        <x:v>Training</x:v>
      </x:c>
      <x:c r="N92" s="61" t="n">
        <x:f>IF(OR(H92="",E92=0),"",K92/E92)</x:f>
        <x:v>0.6818669527896996</x:v>
      </x:c>
    </x:row>
    <x:row r="93">
      <x:c r="A93" s="28" t="n">
        <x:v>40770</x:v>
      </x:c>
      <x:c r="B93" s="23" t="n">
        <x:v>37</x:v>
      </x:c>
      <x:c r="C93" s="23" t="str">
        <x:v>85123A</x:v>
      </x:c>
      <x:c r="D93" s="23" t="str">
        <x:v>WHITE HANGING HEART T-LIGHT HOLDER</x:v>
      </x:c>
      <x:c r="E93" s="34" t="n">
        <x:v>296</x:v>
      </x:c>
      <x:c r="F93" s="55" t="n">
        <x:v>809.2</x:v>
      </x:c>
      <x:c r="G93" s="58" t="n">
        <x:f>E92</x:f>
        <x:v>466</x:v>
      </x:c>
      <x:c r="H93" s="58" t="n">
        <x:f>AVERAGE(E89:E92)</x:f>
        <x:v>601.5</x:v>
      </x:c>
      <x:c r="I93" s="58" t="n">
        <x:f>AVERAGE(E85:E92)</x:f>
        <x:v>544.125</x:v>
      </x:c>
      <x:c r="J93" s="58" t="n">
        <x:f>IF(G93="","",ABS(E93-G93))</x:f>
        <x:v>170</x:v>
      </x:c>
      <x:c r="K93" s="58" t="n">
        <x:f>IF(H93="","",ABS(E93-H93))</x:f>
        <x:v>305.5</x:v>
      </x:c>
      <x:c r="L93" s="58" t="n">
        <x:f>IF(I93="","",ABS(E93-I93))</x:f>
        <x:v>248.125</x:v>
      </x:c>
      <x:c r="M93" s="23" t="str">
        <x:f>IF(B93&gt;44,"Validation","Training")</x:f>
        <x:v>Training</x:v>
      </x:c>
      <x:c r="N93" s="61" t="n">
        <x:f>IF(OR(H93="",E93=0),"",K93/E93)</x:f>
        <x:v>1.0320945945945945</x:v>
      </x:c>
    </x:row>
    <x:row r="94">
      <x:c r="A94" s="28" t="n">
        <x:v>40777</x:v>
      </x:c>
      <x:c r="B94" s="23" t="n">
        <x:v>38</x:v>
      </x:c>
      <x:c r="C94" s="23" t="str">
        <x:v>85123A</x:v>
      </x:c>
      <x:c r="D94" s="23" t="str">
        <x:v>WHITE HANGING HEART T-LIGHT HOLDER</x:v>
      </x:c>
      <x:c r="E94" s="34" t="n">
        <x:v>772</x:v>
      </x:c>
      <x:c r="F94" s="55" t="n">
        <x:v>2034.2</x:v>
      </x:c>
      <x:c r="G94" s="58" t="n">
        <x:f>E93</x:f>
        <x:v>296</x:v>
      </x:c>
      <x:c r="H94" s="58" t="n">
        <x:f>AVERAGE(E90:E93)</x:f>
        <x:v>495.75</x:v>
      </x:c>
      <x:c r="I94" s="58" t="n">
        <x:f>AVERAGE(E86:E93)</x:f>
        <x:v>551.625</x:v>
      </x:c>
      <x:c r="J94" s="58" t="n">
        <x:f>IF(G94="","",ABS(E94-G94))</x:f>
        <x:v>476</x:v>
      </x:c>
      <x:c r="K94" s="58" t="n">
        <x:f>IF(H94="","",ABS(E94-H94))</x:f>
        <x:v>276.25</x:v>
      </x:c>
      <x:c r="L94" s="58" t="n">
        <x:f>IF(I94="","",ABS(E94-I94))</x:f>
        <x:v>220.375</x:v>
      </x:c>
      <x:c r="M94" s="23" t="str">
        <x:f>IF(B94&gt;44,"Validation","Training")</x:f>
        <x:v>Training</x:v>
      </x:c>
      <x:c r="N94" s="61" t="n">
        <x:f>IF(OR(H94="",E94=0),"",K94/E94)</x:f>
        <x:v>0.35783678756476683</x:v>
      </x:c>
    </x:row>
    <x:row r="95">
      <x:c r="A95" s="28" t="n">
        <x:v>40784</x:v>
      </x:c>
      <x:c r="B95" s="23" t="n">
        <x:v>39</x:v>
      </x:c>
      <x:c r="C95" s="23" t="str">
        <x:v>85123A</x:v>
      </x:c>
      <x:c r="D95" s="23" t="str">
        <x:v>WHITE HANGING HEART T-LIGHT HOLDER</x:v>
      </x:c>
      <x:c r="E95" s="34" t="n">
        <x:v>394</x:v>
      </x:c>
      <x:c r="F95" s="55" t="n">
        <x:v>1082.98</x:v>
      </x:c>
      <x:c r="G95" s="58" t="n">
        <x:f>E94</x:f>
        <x:v>772</x:v>
      </x:c>
      <x:c r="H95" s="58" t="n">
        <x:f>AVERAGE(E91:E94)</x:f>
        <x:v>493.75</x:v>
      </x:c>
      <x:c r="I95" s="58" t="n">
        <x:f>AVERAGE(E87:E94)</x:f>
        <x:v>615.875</x:v>
      </x:c>
      <x:c r="J95" s="58" t="n">
        <x:f>IF(G95="","",ABS(E95-G95))</x:f>
        <x:v>378</x:v>
      </x:c>
      <x:c r="K95" s="58" t="n">
        <x:f>IF(H95="","",ABS(E95-H95))</x:f>
        <x:v>99.75</x:v>
      </x:c>
      <x:c r="L95" s="58" t="n">
        <x:f>IF(I95="","",ABS(E95-I95))</x:f>
        <x:v>221.875</x:v>
      </x:c>
      <x:c r="M95" s="23" t="str">
        <x:f>IF(B95&gt;44,"Validation","Training")</x:f>
        <x:v>Training</x:v>
      </x:c>
      <x:c r="N95" s="61" t="n">
        <x:f>IF(OR(H95="",E95=0),"",K95/E95)</x:f>
        <x:v>0.25317258883248733</x:v>
      </x:c>
    </x:row>
    <x:row r="96">
      <x:c r="A96" s="28" t="n">
        <x:v>40791</x:v>
      </x:c>
      <x:c r="B96" s="23" t="n">
        <x:v>40</x:v>
      </x:c>
      <x:c r="C96" s="23" t="str">
        <x:v>85123A</x:v>
      </x:c>
      <x:c r="D96" s="23" t="str">
        <x:v>WHITE HANGING HEART T-LIGHT HOLDER</x:v>
      </x:c>
      <x:c r="E96" s="34" t="n">
        <x:v>440</x:v>
      </x:c>
      <x:c r="F96" s="55" t="n">
        <x:v>1225.44</x:v>
      </x:c>
      <x:c r="G96" s="58" t="n">
        <x:f>E95</x:f>
        <x:v>394</x:v>
      </x:c>
      <x:c r="H96" s="58" t="n">
        <x:f>AVERAGE(E92:E95)</x:f>
        <x:v>482</x:v>
      </x:c>
      <x:c r="I96" s="58" t="n">
        <x:f>AVERAGE(E88:E95)</x:f>
        <x:v>632.875</x:v>
      </x:c>
      <x:c r="J96" s="58" t="n">
        <x:f>IF(G96="","",ABS(E96-G96))</x:f>
        <x:v>46</x:v>
      </x:c>
      <x:c r="K96" s="58" t="n">
        <x:f>IF(H96="","",ABS(E96-H96))</x:f>
        <x:v>42</x:v>
      </x:c>
      <x:c r="L96" s="58" t="n">
        <x:f>IF(I96="","",ABS(E96-I96))</x:f>
        <x:v>192.875</x:v>
      </x:c>
      <x:c r="M96" s="23" t="str">
        <x:f>IF(B96&gt;44,"Validation","Training")</x:f>
        <x:v>Training</x:v>
      </x:c>
      <x:c r="N96" s="61" t="n">
        <x:f>IF(OR(H96="",E96=0),"",K96/E96)</x:f>
        <x:v>0.09545454545454546</x:v>
      </x:c>
    </x:row>
    <x:row r="97">
      <x:c r="A97" s="28" t="n">
        <x:v>40798</x:v>
      </x:c>
      <x:c r="B97" s="23" t="n">
        <x:v>41</x:v>
      </x:c>
      <x:c r="C97" s="23" t="str">
        <x:v>85123A</x:v>
      </x:c>
      <x:c r="D97" s="23" t="str">
        <x:v>WHITE HANGING HEART T-LIGHT HOLDER</x:v>
      </x:c>
      <x:c r="E97" s="34" t="n">
        <x:v>658</x:v>
      </x:c>
      <x:c r="F97" s="55" t="n">
        <x:v>1754.78</x:v>
      </x:c>
      <x:c r="G97" s="58" t="n">
        <x:f>E96</x:f>
        <x:v>440</x:v>
      </x:c>
      <x:c r="H97" s="58" t="n">
        <x:f>AVERAGE(E93:E96)</x:f>
        <x:v>475.5</x:v>
      </x:c>
      <x:c r="I97" s="58" t="n">
        <x:f>AVERAGE(E89:E96)</x:f>
        <x:v>538.5</x:v>
      </x:c>
      <x:c r="J97" s="58" t="n">
        <x:f>IF(G97="","",ABS(E97-G97))</x:f>
        <x:v>218</x:v>
      </x:c>
      <x:c r="K97" s="58" t="n">
        <x:f>IF(H97="","",ABS(E97-H97))</x:f>
        <x:v>182.5</x:v>
      </x:c>
      <x:c r="L97" s="58" t="n">
        <x:f>IF(I97="","",ABS(E97-I97))</x:f>
        <x:v>119.5</x:v>
      </x:c>
      <x:c r="M97" s="23" t="str">
        <x:f>IF(B97&gt;44,"Validation","Training")</x:f>
        <x:v>Training</x:v>
      </x:c>
      <x:c r="N97" s="61" t="n">
        <x:f>IF(OR(H97="",E97=0),"",K97/E97)</x:f>
        <x:v>0.2773556231003039</x:v>
      </x:c>
    </x:row>
    <x:row r="98">
      <x:c r="A98" s="28" t="n">
        <x:v>40805</x:v>
      </x:c>
      <x:c r="B98" s="23" t="n">
        <x:v>42</x:v>
      </x:c>
      <x:c r="C98" s="23" t="str">
        <x:v>85123A</x:v>
      </x:c>
      <x:c r="D98" s="23" t="str">
        <x:v>WHITE HANGING HEART T-LIGHT HOLDER</x:v>
      </x:c>
      <x:c r="E98" s="34" t="n">
        <x:v>705</x:v>
      </x:c>
      <x:c r="F98" s="55" t="n">
        <x:v>2142.11</x:v>
      </x:c>
      <x:c r="G98" s="58" t="n">
        <x:f>E97</x:f>
        <x:v>658</x:v>
      </x:c>
      <x:c r="H98" s="58" t="n">
        <x:f>AVERAGE(E94:E97)</x:f>
        <x:v>566</x:v>
      </x:c>
      <x:c r="I98" s="58" t="n">
        <x:f>AVERAGE(E90:E97)</x:f>
        <x:v>530.875</x:v>
      </x:c>
      <x:c r="J98" s="58" t="n">
        <x:f>IF(G98="","",ABS(E98-G98))</x:f>
        <x:v>47</x:v>
      </x:c>
      <x:c r="K98" s="58" t="n">
        <x:f>IF(H98="","",ABS(E98-H98))</x:f>
        <x:v>139</x:v>
      </x:c>
      <x:c r="L98" s="58" t="n">
        <x:f>IF(I98="","",ABS(E98-I98))</x:f>
        <x:v>174.125</x:v>
      </x:c>
      <x:c r="M98" s="23" t="str">
        <x:f>IF(B98&gt;44,"Validation","Training")</x:f>
        <x:v>Training</x:v>
      </x:c>
      <x:c r="N98" s="61" t="n">
        <x:f>IF(OR(H98="",E98=0),"",K98/E98)</x:f>
        <x:v>0.1971631205673759</x:v>
      </x:c>
    </x:row>
    <x:row r="99">
      <x:c r="A99" s="28" t="n">
        <x:v>40812</x:v>
      </x:c>
      <x:c r="B99" s="23" t="n">
        <x:v>43</x:v>
      </x:c>
      <x:c r="C99" s="23" t="str">
        <x:v>85123A</x:v>
      </x:c>
      <x:c r="D99" s="23" t="str">
        <x:v>WHITE HANGING HEART T-LIGHT HOLDER</x:v>
      </x:c>
      <x:c r="E99" s="34" t="n">
        <x:v>402</x:v>
      </x:c>
      <x:c r="F99" s="55" t="n">
        <x:v>1092.02</x:v>
      </x:c>
      <x:c r="G99" s="58" t="n">
        <x:f>E98</x:f>
        <x:v>705</x:v>
      </x:c>
      <x:c r="H99" s="58" t="n">
        <x:f>AVERAGE(E95:E98)</x:f>
        <x:v>549.25</x:v>
      </x:c>
      <x:c r="I99" s="58" t="n">
        <x:f>AVERAGE(E91:E98)</x:f>
        <x:v>521.5</x:v>
      </x:c>
      <x:c r="J99" s="58" t="n">
        <x:f>IF(G99="","",ABS(E99-G99))</x:f>
        <x:v>303</x:v>
      </x:c>
      <x:c r="K99" s="58" t="n">
        <x:f>IF(H99="","",ABS(E99-H99))</x:f>
        <x:v>147.25</x:v>
      </x:c>
      <x:c r="L99" s="58" t="n">
        <x:f>IF(I99="","",ABS(E99-I99))</x:f>
        <x:v>119.5</x:v>
      </x:c>
      <x:c r="M99" s="23" t="str">
        <x:f>IF(B99&gt;44,"Validation","Training")</x:f>
        <x:v>Training</x:v>
      </x:c>
      <x:c r="N99" s="61" t="n">
        <x:f>IF(OR(H99="",E99=0),"",K99/E99)</x:f>
        <x:v>0.36629353233830847</x:v>
      </x:c>
    </x:row>
    <x:row r="100">
      <x:c r="A100" s="28" t="n">
        <x:v>40819</x:v>
      </x:c>
      <x:c r="B100" s="23" t="n">
        <x:v>44</x:v>
      </x:c>
      <x:c r="C100" s="23" t="str">
        <x:v>85123A</x:v>
      </x:c>
      <x:c r="D100" s="23" t="str">
        <x:v>WHITE HANGING HEART T-LIGHT HOLDER</x:v>
      </x:c>
      <x:c r="E100" s="34" t="n">
        <x:v>165</x:v>
      </x:c>
      <x:c r="F100" s="55" t="n">
        <x:v>503.79</x:v>
      </x:c>
      <x:c r="G100" s="58" t="n">
        <x:f>E99</x:f>
        <x:v>402</x:v>
      </x:c>
      <x:c r="H100" s="58" t="n">
        <x:f>AVERAGE(E96:E99)</x:f>
        <x:v>551.25</x:v>
      </x:c>
      <x:c r="I100" s="58" t="n">
        <x:f>AVERAGE(E92:E99)</x:f>
        <x:v>516.625</x:v>
      </x:c>
      <x:c r="J100" s="58" t="n">
        <x:f>IF(G100="","",ABS(E100-G100))</x:f>
        <x:v>237</x:v>
      </x:c>
      <x:c r="K100" s="58" t="n">
        <x:f>IF(H100="","",ABS(E100-H100))</x:f>
        <x:v>386.25</x:v>
      </x:c>
      <x:c r="L100" s="58" t="n">
        <x:f>IF(I100="","",ABS(E100-I100))</x:f>
        <x:v>351.625</x:v>
      </x:c>
      <x:c r="M100" s="23" t="str">
        <x:f>IF(B100&gt;44,"Validation","Training")</x:f>
        <x:v>Training</x:v>
      </x:c>
      <x:c r="N100" s="61" t="n">
        <x:f>IF(OR(H100="",E100=0),"",K100/E100)</x:f>
        <x:v>2.340909090909091</x:v>
      </x:c>
    </x:row>
    <x:row r="101">
      <x:c r="A101" s="28" t="n">
        <x:v>40826</x:v>
      </x:c>
      <x:c r="B101" s="23" t="n">
        <x:v>45</x:v>
      </x:c>
      <x:c r="C101" s="23" t="str">
        <x:v>85123A</x:v>
      </x:c>
      <x:c r="D101" s="23" t="str">
        <x:v>WHITE HANGING HEART T-LIGHT HOLDER</x:v>
      </x:c>
      <x:c r="E101" s="34" t="n">
        <x:v>679</x:v>
      </x:c>
      <x:c r="F101" s="55" t="n">
        <x:v>1866.49</x:v>
      </x:c>
      <x:c r="G101" s="58" t="n">
        <x:f>E100</x:f>
        <x:v>165</x:v>
      </x:c>
      <x:c r="H101" s="58" t="n">
        <x:f>AVERAGE(E97:E100)</x:f>
        <x:v>482.5</x:v>
      </x:c>
      <x:c r="I101" s="58" t="n">
        <x:f>AVERAGE(E93:E100)</x:f>
        <x:v>479</x:v>
      </x:c>
      <x:c r="J101" s="58" t="n">
        <x:f>IF(G101="","",ABS(E101-G101))</x:f>
        <x:v>514</x:v>
      </x:c>
      <x:c r="K101" s="58" t="n">
        <x:f>IF(H101="","",ABS(E101-H101))</x:f>
        <x:v>196.5</x:v>
      </x:c>
      <x:c r="L101" s="58" t="n">
        <x:f>IF(I101="","",ABS(E101-I101))</x:f>
        <x:v>200</x:v>
      </x:c>
      <x:c r="M101" s="23" t="str">
        <x:f>IF(B101&gt;44,"Validation","Training")</x:f>
        <x:v>Validation</x:v>
      </x:c>
      <x:c r="N101" s="61" t="n">
        <x:f>IF(OR(H101="",E101=0),"",K101/E101)</x:f>
        <x:v>0.28939617083946984</x:v>
      </x:c>
    </x:row>
    <x:row r="102">
      <x:c r="A102" s="28" t="n">
        <x:v>40833</x:v>
      </x:c>
      <x:c r="B102" s="23" t="n">
        <x:v>46</x:v>
      </x:c>
      <x:c r="C102" s="23" t="str">
        <x:v>85123A</x:v>
      </x:c>
      <x:c r="D102" s="23" t="str">
        <x:v>WHITE HANGING HEART T-LIGHT HOLDER</x:v>
      </x:c>
      <x:c r="E102" s="34" t="n">
        <x:v>231</x:v>
      </x:c>
      <x:c r="F102" s="55" t="n">
        <x:v>670.05</x:v>
      </x:c>
      <x:c r="G102" s="58" t="n">
        <x:f>E101</x:f>
        <x:v>679</x:v>
      </x:c>
      <x:c r="H102" s="58" t="n">
        <x:f>AVERAGE(E98:E101)</x:f>
        <x:v>487.75</x:v>
      </x:c>
      <x:c r="I102" s="58" t="n">
        <x:f>AVERAGE(E94:E101)</x:f>
        <x:v>526.875</x:v>
      </x:c>
      <x:c r="J102" s="58" t="n">
        <x:f>IF(G102="","",ABS(E102-G102))</x:f>
        <x:v>448</x:v>
      </x:c>
      <x:c r="K102" s="58" t="n">
        <x:f>IF(H102="","",ABS(E102-H102))</x:f>
        <x:v>256.75</x:v>
      </x:c>
      <x:c r="L102" s="58" t="n">
        <x:f>IF(I102="","",ABS(E102-I102))</x:f>
        <x:v>295.875</x:v>
      </x:c>
      <x:c r="M102" s="23" t="str">
        <x:f>IF(B102&gt;44,"Validation","Training")</x:f>
        <x:v>Validation</x:v>
      </x:c>
      <x:c r="N102" s="61" t="n">
        <x:f>IF(OR(H102="",E102=0),"",K102/E102)</x:f>
        <x:v>1.1114718614718615</x:v>
      </x:c>
    </x:row>
    <x:row r="103">
      <x:c r="A103" s="28" t="n">
        <x:v>40840</x:v>
      </x:c>
      <x:c r="B103" s="23" t="n">
        <x:v>47</x:v>
      </x:c>
      <x:c r="C103" s="23" t="str">
        <x:v>85123A</x:v>
      </x:c>
      <x:c r="D103" s="23" t="str">
        <x:v>WHITE HANGING HEART T-LIGHT HOLDER</x:v>
      </x:c>
      <x:c r="E103" s="34" t="n">
        <x:v>444</x:v>
      </x:c>
      <x:c r="F103" s="55" t="n">
        <x:v>1251.44</x:v>
      </x:c>
      <x:c r="G103" s="58" t="n">
        <x:f>E102</x:f>
        <x:v>231</x:v>
      </x:c>
      <x:c r="H103" s="58" t="n">
        <x:f>AVERAGE(E99:E102)</x:f>
        <x:v>369.25</x:v>
      </x:c>
      <x:c r="I103" s="58" t="n">
        <x:f>AVERAGE(E95:E102)</x:f>
        <x:v>459.25</x:v>
      </x:c>
      <x:c r="J103" s="58" t="n">
        <x:f>IF(G103="","",ABS(E103-G103))</x:f>
        <x:v>213</x:v>
      </x:c>
      <x:c r="K103" s="58" t="n">
        <x:f>IF(H103="","",ABS(E103-H103))</x:f>
        <x:v>74.75</x:v>
      </x:c>
      <x:c r="L103" s="58" t="n">
        <x:f>IF(I103="","",ABS(E103-I103))</x:f>
        <x:v>15.25</x:v>
      </x:c>
      <x:c r="M103" s="23" t="str">
        <x:f>IF(B103&gt;44,"Validation","Training")</x:f>
        <x:v>Validation</x:v>
      </x:c>
      <x:c r="N103" s="61" t="n">
        <x:f>IF(OR(H103="",E103=0),"",K103/E103)</x:f>
        <x:v>0.16835585585585586</x:v>
      </x:c>
    </x:row>
    <x:row r="104">
      <x:c r="A104" s="28" t="n">
        <x:v>40847</x:v>
      </x:c>
      <x:c r="B104" s="23" t="n">
        <x:v>48</x:v>
      </x:c>
      <x:c r="C104" s="23" t="str">
        <x:v>85123A</x:v>
      </x:c>
      <x:c r="D104" s="23" t="str">
        <x:v>WHITE HANGING HEART T-LIGHT HOLDER</x:v>
      </x:c>
      <x:c r="E104" s="34" t="n">
        <x:v>1704</x:v>
      </x:c>
      <x:c r="F104" s="55" t="n">
        <x:v>5246.84</x:v>
      </x:c>
      <x:c r="G104" s="58" t="n">
        <x:f>E103</x:f>
        <x:v>444</x:v>
      </x:c>
      <x:c r="H104" s="58" t="n">
        <x:f>AVERAGE(E100:E103)</x:f>
        <x:v>379.75</x:v>
      </x:c>
      <x:c r="I104" s="58" t="n">
        <x:f>AVERAGE(E96:E103)</x:f>
        <x:v>465.5</x:v>
      </x:c>
      <x:c r="J104" s="58" t="n">
        <x:f>IF(G104="","",ABS(E104-G104))</x:f>
        <x:v>1260</x:v>
      </x:c>
      <x:c r="K104" s="58" t="n">
        <x:f>IF(H104="","",ABS(E104-H104))</x:f>
        <x:v>1324.25</x:v>
      </x:c>
      <x:c r="L104" s="58" t="n">
        <x:f>IF(I104="","",ABS(E104-I104))</x:f>
        <x:v>1238.5</x:v>
      </x:c>
      <x:c r="M104" s="23" t="str">
        <x:f>IF(B104&gt;44,"Validation","Training")</x:f>
        <x:v>Validation</x:v>
      </x:c>
      <x:c r="N104" s="61" t="n">
        <x:f>IF(OR(H104="",E104=0),"",K104/E104)</x:f>
        <x:v>0.7771420187793427</x:v>
      </x:c>
    </x:row>
    <x:row r="105">
      <x:c r="A105" s="28" t="n">
        <x:v>40854</x:v>
      </x:c>
      <x:c r="B105" s="23" t="n">
        <x:v>49</x:v>
      </x:c>
      <x:c r="C105" s="23" t="str">
        <x:v>85123A</x:v>
      </x:c>
      <x:c r="D105" s="23" t="str">
        <x:v>WHITE HANGING HEART T-LIGHT HOLDER</x:v>
      </x:c>
      <x:c r="E105" s="34" t="n">
        <x:v>575</x:v>
      </x:c>
      <x:c r="F105" s="55" t="n">
        <x:v>1579.61</x:v>
      </x:c>
      <x:c r="G105" s="58" t="n">
        <x:f>E104</x:f>
        <x:v>1704</x:v>
      </x:c>
      <x:c r="H105" s="58" t="n">
        <x:f>AVERAGE(E101:E104)</x:f>
        <x:v>764.5</x:v>
      </x:c>
      <x:c r="I105" s="58" t="n">
        <x:f>AVERAGE(E97:E104)</x:f>
        <x:v>623.5</x:v>
      </x:c>
      <x:c r="J105" s="58" t="n">
        <x:f>IF(G105="","",ABS(E105-G105))</x:f>
        <x:v>1129</x:v>
      </x:c>
      <x:c r="K105" s="58" t="n">
        <x:f>IF(H105="","",ABS(E105-H105))</x:f>
        <x:v>189.5</x:v>
      </x:c>
      <x:c r="L105" s="58" t="n">
        <x:f>IF(I105="","",ABS(E105-I105))</x:f>
        <x:v>48.5</x:v>
      </x:c>
      <x:c r="M105" s="23" t="str">
        <x:f>IF(B105&gt;44,"Validation","Training")</x:f>
        <x:v>Validation</x:v>
      </x:c>
      <x:c r="N105" s="61" t="n">
        <x:f>IF(OR(H105="",E105=0),"",K105/E105)</x:f>
        <x:v>0.32956521739130434</x:v>
      </x:c>
    </x:row>
    <x:row r="106">
      <x:c r="A106" s="28" t="n">
        <x:v>40861</x:v>
      </x:c>
      <x:c r="B106" s="23" t="n">
        <x:v>50</x:v>
      </x:c>
      <x:c r="C106" s="23" t="str">
        <x:v>85123A</x:v>
      </x:c>
      <x:c r="D106" s="23" t="str">
        <x:v>WHITE HANGING HEART T-LIGHT HOLDER</x:v>
      </x:c>
      <x:c r="E106" s="34" t="n">
        <x:v>1322</x:v>
      </x:c>
      <x:c r="F106" s="55" t="n">
        <x:v>3784.42</x:v>
      </x:c>
      <x:c r="G106" s="58" t="n">
        <x:f>E105</x:f>
        <x:v>575</x:v>
      </x:c>
      <x:c r="H106" s="58" t="n">
        <x:f>AVERAGE(E102:E105)</x:f>
        <x:v>738.5</x:v>
      </x:c>
      <x:c r="I106" s="58" t="n">
        <x:f>AVERAGE(E98:E105)</x:f>
        <x:v>613.125</x:v>
      </x:c>
      <x:c r="J106" s="58" t="n">
        <x:f>IF(G106="","",ABS(E106-G106))</x:f>
        <x:v>747</x:v>
      </x:c>
      <x:c r="K106" s="58" t="n">
        <x:f>IF(H106="","",ABS(E106-H106))</x:f>
        <x:v>583.5</x:v>
      </x:c>
      <x:c r="L106" s="58" t="n">
        <x:f>IF(I106="","",ABS(E106-I106))</x:f>
        <x:v>708.875</x:v>
      </x:c>
      <x:c r="M106" s="23" t="str">
        <x:f>IF(B106&gt;44,"Validation","Training")</x:f>
        <x:v>Validation</x:v>
      </x:c>
      <x:c r="N106" s="61" t="n">
        <x:f>IF(OR(H106="",E106=0),"",K106/E106)</x:f>
        <x:v>0.4413767019667171</x:v>
      </x:c>
    </x:row>
    <x:row r="107">
      <x:c r="A107" s="28" t="n">
        <x:v>40868</x:v>
      </x:c>
      <x:c r="B107" s="23" t="n">
        <x:v>51</x:v>
      </x:c>
      <x:c r="C107" s="23" t="str">
        <x:v>85123A</x:v>
      </x:c>
      <x:c r="D107" s="23" t="str">
        <x:v>WHITE HANGING HEART T-LIGHT HOLDER</x:v>
      </x:c>
      <x:c r="E107" s="34" t="n">
        <x:v>898</x:v>
      </x:c>
      <x:c r="F107" s="55" t="n">
        <x:v>2435.7</x:v>
      </x:c>
      <x:c r="G107" s="58" t="n">
        <x:f>E106</x:f>
        <x:v>1322</x:v>
      </x:c>
      <x:c r="H107" s="58" t="n">
        <x:f>AVERAGE(E103:E106)</x:f>
        <x:v>1011.25</x:v>
      </x:c>
      <x:c r="I107" s="58" t="n">
        <x:f>AVERAGE(E99:E106)</x:f>
        <x:v>690.25</x:v>
      </x:c>
      <x:c r="J107" s="58" t="n">
        <x:f>IF(G107="","",ABS(E107-G107))</x:f>
        <x:v>424</x:v>
      </x:c>
      <x:c r="K107" s="58" t="n">
        <x:f>IF(H107="","",ABS(E107-H107))</x:f>
        <x:v>113.25</x:v>
      </x:c>
      <x:c r="L107" s="58" t="n">
        <x:f>IF(I107="","",ABS(E107-I107))</x:f>
        <x:v>207.75</x:v>
      </x:c>
      <x:c r="M107" s="23" t="str">
        <x:f>IF(B107&gt;44,"Validation","Training")</x:f>
        <x:v>Validation</x:v>
      </x:c>
      <x:c r="N107" s="61" t="n">
        <x:f>IF(OR(H107="",E107=0),"",K107/E107)</x:f>
        <x:v>0.12611358574610246</x:v>
      </x:c>
    </x:row>
    <x:row r="108">
      <x:c r="A108" s="28" t="n">
        <x:v>40875</x:v>
      </x:c>
      <x:c r="B108" s="23" t="n">
        <x:v>52</x:v>
      </x:c>
      <x:c r="C108" s="23" t="str">
        <x:v>85123A</x:v>
      </x:c>
      <x:c r="D108" s="23" t="str">
        <x:v>WHITE HANGING HEART T-LIGHT HOLDER</x:v>
      </x:c>
      <x:c r="E108" s="34" t="n">
        <x:v>726</x:v>
      </x:c>
      <x:c r="F108" s="55" t="n">
        <x:v>1955.34</x:v>
      </x:c>
      <x:c r="G108" s="58" t="n">
        <x:f>E107</x:f>
        <x:v>898</x:v>
      </x:c>
      <x:c r="H108" s="58" t="n">
        <x:f>AVERAGE(E104:E107)</x:f>
        <x:v>1124.75</x:v>
      </x:c>
      <x:c r="I108" s="58" t="n">
        <x:f>AVERAGE(E100:E107)</x:f>
        <x:v>752.25</x:v>
      </x:c>
      <x:c r="J108" s="58" t="n">
        <x:f>IF(G108="","",ABS(E108-G108))</x:f>
        <x:v>172</x:v>
      </x:c>
      <x:c r="K108" s="58" t="n">
        <x:f>IF(H108="","",ABS(E108-H108))</x:f>
        <x:v>398.75</x:v>
      </x:c>
      <x:c r="L108" s="58" t="n">
        <x:f>IF(I108="","",ABS(E108-I108))</x:f>
        <x:v>26.25</x:v>
      </x:c>
      <x:c r="M108" s="23" t="str">
        <x:f>IF(B108&gt;44,"Validation","Training")</x:f>
        <x:v>Validation</x:v>
      </x:c>
      <x:c r="N108" s="61" t="n">
        <x:f>IF(OR(H108="",E108=0),"",K108/E108)</x:f>
        <x:v>0.5492424242424242</x:v>
      </x:c>
    </x:row>
    <x:row r="109">
      <x:c r="A109" s="28" t="n">
        <x:v>40518</x:v>
      </x:c>
      <x:c r="B109" s="23" t="n">
        <x:v>1</x:v>
      </x:c>
      <x:c r="C109" s="23" t="str">
        <x:v>47566</x:v>
      </x:c>
      <x:c r="D109" s="23" t="str">
        <x:v>PARTY BUNTING</x:v>
      </x:c>
      <x:c r="E109" s="34" t="n">
        <x:v>165</x:v>
      </x:c>
      <x:c r="F109" s="55" t="n">
        <x:v>786.34</x:v>
      </x:c>
      <x:c r="G109" s="58" t="str">
        <x:f>""</x:f>
      </x:c>
      <x:c r="H109" s="58" t="str">
        <x:f>""</x:f>
      </x:c>
      <x:c r="I109" s="58" t="str">
        <x:f>""</x:f>
      </x:c>
      <x:c r="J109" s="58" t="str">
        <x:f>IF(G109="","",ABS(E109-G109))</x:f>
      </x:c>
      <x:c r="K109" s="58" t="str">
        <x:f>IF(H109="","",ABS(E109-H109))</x:f>
      </x:c>
      <x:c r="L109" s="58" t="str">
        <x:f>IF(I109="","",ABS(E109-I109))</x:f>
      </x:c>
      <x:c r="M109" s="23" t="str">
        <x:f>IF(B109&gt;44,"Validation","Training")</x:f>
        <x:v>Training</x:v>
      </x:c>
      <x:c r="N109" s="61" t="str">
        <x:f>IF(OR(H109="",E109=0),"",K109/E109)</x:f>
      </x:c>
    </x:row>
    <x:row r="110">
      <x:c r="A110" s="28" t="n">
        <x:v>40525</x:v>
      </x:c>
      <x:c r="B110" s="23" t="n">
        <x:v>2</x:v>
      </x:c>
      <x:c r="C110" s="23" t="str">
        <x:v>47566</x:v>
      </x:c>
      <x:c r="D110" s="23" t="str">
        <x:v>PARTY BUNTING</x:v>
      </x:c>
      <x:c r="E110" s="34" t="n">
        <x:v>29</x:v>
      </x:c>
      <x:c r="F110" s="55" t="n">
        <x:v>154.8</x:v>
      </x:c>
      <x:c r="G110" s="58" t="n">
        <x:f>E109</x:f>
        <x:v>165</x:v>
      </x:c>
      <x:c r="H110" s="58" t="str">
        <x:f>""</x:f>
      </x:c>
      <x:c r="I110" s="58" t="str">
        <x:f>""</x:f>
      </x:c>
      <x:c r="J110" s="58" t="n">
        <x:f>IF(G110="","",ABS(E110-G110))</x:f>
        <x:v>136</x:v>
      </x:c>
      <x:c r="K110" s="58" t="str">
        <x:f>IF(H110="","",ABS(E110-H110))</x:f>
      </x:c>
      <x:c r="L110" s="58" t="str">
        <x:f>IF(I110="","",ABS(E110-I110))</x:f>
      </x:c>
      <x:c r="M110" s="23" t="str">
        <x:f>IF(B110&gt;44,"Validation","Training")</x:f>
        <x:v>Training</x:v>
      </x:c>
      <x:c r="N110" s="61" t="str">
        <x:f>IF(OR(H110="",E110=0),"",K110/E110)</x:f>
      </x:c>
    </x:row>
    <x:row r="111">
      <x:c r="A111" s="28" t="n">
        <x:v>40532</x:v>
      </x:c>
      <x:c r="B111" s="23" t="n">
        <x:v>3</x:v>
      </x:c>
      <x:c r="C111" s="23" t="str">
        <x:v>47566</x:v>
      </x:c>
      <x:c r="D111" s="23" t="str">
        <x:v>PARTY BUNTING</x:v>
      </x:c>
      <x:c r="E111" s="34" t="n">
        <x:v>24</x:v>
      </x:c>
      <x:c r="F111" s="55" t="n">
        <x:v>151.93</x:v>
      </x:c>
      <x:c r="G111" s="58" t="n">
        <x:f>E110</x:f>
        <x:v>29</x:v>
      </x:c>
      <x:c r="H111" s="58" t="str">
        <x:f>""</x:f>
      </x:c>
      <x:c r="I111" s="58" t="str">
        <x:f>""</x:f>
      </x:c>
      <x:c r="J111" s="58" t="n">
        <x:f>IF(G111="","",ABS(E111-G111))</x:f>
        <x:v>5</x:v>
      </x:c>
      <x:c r="K111" s="58" t="str">
        <x:f>IF(H111="","",ABS(E111-H111))</x:f>
      </x:c>
      <x:c r="L111" s="58" t="str">
        <x:f>IF(I111="","",ABS(E111-I111))</x:f>
      </x:c>
      <x:c r="M111" s="23" t="str">
        <x:f>IF(B111&gt;44,"Validation","Training")</x:f>
        <x:v>Training</x:v>
      </x:c>
      <x:c r="N111" s="61" t="str">
        <x:f>IF(OR(H111="",E111=0),"",K111/E111)</x:f>
      </x:c>
    </x:row>
    <x:row r="112">
      <x:c r="A112" s="28" t="n">
        <x:v>40539</x:v>
      </x:c>
      <x:c r="B112" s="23" t="n">
        <x:v>4</x:v>
      </x:c>
      <x:c r="C112" s="23" t="str">
        <x:v>47566</x:v>
      </x:c>
      <x:c r="D112" s="23" t="str">
        <x:v>PARTY BUNTING</x:v>
      </x:c>
      <x:c r="E112" s="34" t="n">
        <x:v>0</x:v>
      </x:c>
      <x:c r="F112" s="55" t="n">
        <x:v>0</x:v>
      </x:c>
      <x:c r="G112" s="58" t="n">
        <x:f>E111</x:f>
        <x:v>24</x:v>
      </x:c>
      <x:c r="H112" s="58" t="str">
        <x:f>""</x:f>
      </x:c>
      <x:c r="I112" s="58" t="str">
        <x:f>""</x:f>
      </x:c>
      <x:c r="J112" s="58" t="n">
        <x:f>IF(G112="","",ABS(E112-G112))</x:f>
        <x:v>24</x:v>
      </x:c>
      <x:c r="K112" s="58" t="str">
        <x:f>IF(H112="","",ABS(E112-H112))</x:f>
      </x:c>
      <x:c r="L112" s="58" t="str">
        <x:f>IF(I112="","",ABS(E112-I112))</x:f>
      </x:c>
      <x:c r="M112" s="23" t="str">
        <x:f>IF(B112&gt;44,"Validation","Training")</x:f>
        <x:v>Training</x:v>
      </x:c>
      <x:c r="N112" s="61" t="str">
        <x:f>IF(OR(H112="",E112=0),"",K112/E112)</x:f>
      </x:c>
    </x:row>
    <x:row r="113">
      <x:c r="A113" s="28" t="n">
        <x:v>40546</x:v>
      </x:c>
      <x:c r="B113" s="23" t="n">
        <x:v>5</x:v>
      </x:c>
      <x:c r="C113" s="23" t="str">
        <x:v>47566</x:v>
      </x:c>
      <x:c r="D113" s="23" t="str">
        <x:v>PARTY BUNTING</x:v>
      </x:c>
      <x:c r="E113" s="34" t="n">
        <x:v>145</x:v>
      </x:c>
      <x:c r="F113" s="55" t="n">
        <x:v>586.71</x:v>
      </x:c>
      <x:c r="G113" s="58" t="n">
        <x:f>E112</x:f>
        <x:v>0</x:v>
      </x:c>
      <x:c r="H113" s="58" t="n">
        <x:f>AVERAGE(E109:E112)</x:f>
        <x:v>54.5</x:v>
      </x:c>
      <x:c r="I113" s="58" t="str">
        <x:f>""</x:f>
      </x:c>
      <x:c r="J113" s="58" t="str">
        <x:f>IF(G113="","",ABS(E113-G113))</x:f>
      </x:c>
      <x:c r="K113" s="58" t="n">
        <x:f>IF(H113="","",ABS(E113-H113))</x:f>
        <x:v>90.5</x:v>
      </x:c>
      <x:c r="L113" s="58" t="str">
        <x:f>IF(I113="","",ABS(E113-I113))</x:f>
      </x:c>
      <x:c r="M113" s="23" t="str">
        <x:f>IF(B113&gt;44,"Validation","Training")</x:f>
        <x:v>Training</x:v>
      </x:c>
      <x:c r="N113" s="61" t="n">
        <x:f>IF(OR(H113="",E113=0),"",K113/E113)</x:f>
        <x:v>0.6241379310344828</x:v>
      </x:c>
    </x:row>
    <x:row r="114">
      <x:c r="A114" s="28" t="n">
        <x:v>40553</x:v>
      </x:c>
      <x:c r="B114" s="23" t="n">
        <x:v>6</x:v>
      </x:c>
      <x:c r="C114" s="23" t="str">
        <x:v>47566</x:v>
      </x:c>
      <x:c r="D114" s="23" t="str">
        <x:v>PARTY BUNTING</x:v>
      </x:c>
      <x:c r="E114" s="34" t="n">
        <x:v>85</x:v>
      </x:c>
      <x:c r="F114" s="55" t="n">
        <x:v>468.89</x:v>
      </x:c>
      <x:c r="G114" s="58" t="n">
        <x:f>E113</x:f>
        <x:v>145</x:v>
      </x:c>
      <x:c r="H114" s="58" t="n">
        <x:f>AVERAGE(E110:E113)</x:f>
        <x:v>49.5</x:v>
      </x:c>
      <x:c r="I114" s="58" t="str">
        <x:f>""</x:f>
      </x:c>
      <x:c r="J114" s="58" t="n">
        <x:f>IF(G114="","",ABS(E114-G114))</x:f>
        <x:v>60</x:v>
      </x:c>
      <x:c r="K114" s="58" t="n">
        <x:f>IF(H114="","",ABS(E114-H114))</x:f>
        <x:v>35.5</x:v>
      </x:c>
      <x:c r="L114" s="58" t="str">
        <x:f>IF(I114="","",ABS(E114-I114))</x:f>
      </x:c>
      <x:c r="M114" s="23" t="str">
        <x:f>IF(B114&gt;44,"Validation","Training")</x:f>
        <x:v>Training</x:v>
      </x:c>
      <x:c r="N114" s="61" t="n">
        <x:f>IF(OR(H114="",E114=0),"",K114/E114)</x:f>
        <x:v>0.4176470588235294</x:v>
      </x:c>
    </x:row>
    <x:row r="115">
      <x:c r="A115" s="28" t="n">
        <x:v>40560</x:v>
      </x:c>
      <x:c r="B115" s="23" t="n">
        <x:v>7</x:v>
      </x:c>
      <x:c r="C115" s="23" t="str">
        <x:v>47566</x:v>
      </x:c>
      <x:c r="D115" s="23" t="str">
        <x:v>PARTY BUNTING</x:v>
      </x:c>
      <x:c r="E115" s="34" t="n">
        <x:v>69</x:v>
      </x:c>
      <x:c r="F115" s="55" t="n">
        <x:v>373.39</x:v>
      </x:c>
      <x:c r="G115" s="58" t="n">
        <x:f>E114</x:f>
        <x:v>85</x:v>
      </x:c>
      <x:c r="H115" s="58" t="n">
        <x:f>AVERAGE(E111:E114)</x:f>
        <x:v>63.5</x:v>
      </x:c>
      <x:c r="I115" s="58" t="str">
        <x:f>""</x:f>
      </x:c>
      <x:c r="J115" s="58" t="n">
        <x:f>IF(G115="","",ABS(E115-G115))</x:f>
        <x:v>16</x:v>
      </x:c>
      <x:c r="K115" s="58" t="n">
        <x:f>IF(H115="","",ABS(E115-H115))</x:f>
        <x:v>5.5</x:v>
      </x:c>
      <x:c r="L115" s="58" t="str">
        <x:f>IF(I115="","",ABS(E115-I115))</x:f>
      </x:c>
      <x:c r="M115" s="23" t="str">
        <x:f>IF(B115&gt;44,"Validation","Training")</x:f>
        <x:v>Training</x:v>
      </x:c>
      <x:c r="N115" s="61" t="n">
        <x:f>IF(OR(H115="",E115=0),"",K115/E115)</x:f>
        <x:v>0.07971014492753623</x:v>
      </x:c>
    </x:row>
    <x:row r="116">
      <x:c r="A116" s="28" t="n">
        <x:v>40567</x:v>
      </x:c>
      <x:c r="B116" s="23" t="n">
        <x:v>8</x:v>
      </x:c>
      <x:c r="C116" s="23" t="str">
        <x:v>47566</x:v>
      </x:c>
      <x:c r="D116" s="23" t="str">
        <x:v>PARTY BUNTING</x:v>
      </x:c>
      <x:c r="E116" s="34" t="n">
        <x:v>171</x:v>
      </x:c>
      <x:c r="F116" s="55" t="n">
        <x:v>760.41</x:v>
      </x:c>
      <x:c r="G116" s="58" t="n">
        <x:f>E115</x:f>
        <x:v>69</x:v>
      </x:c>
      <x:c r="H116" s="58" t="n">
        <x:f>AVERAGE(E112:E115)</x:f>
        <x:v>74.75</x:v>
      </x:c>
      <x:c r="I116" s="58" t="str">
        <x:f>""</x:f>
      </x:c>
      <x:c r="J116" s="58" t="n">
        <x:f>IF(G116="","",ABS(E116-G116))</x:f>
        <x:v>102</x:v>
      </x:c>
      <x:c r="K116" s="58" t="n">
        <x:f>IF(H116="","",ABS(E116-H116))</x:f>
        <x:v>96.25</x:v>
      </x:c>
      <x:c r="L116" s="58" t="str">
        <x:f>IF(I116="","",ABS(E116-I116))</x:f>
      </x:c>
      <x:c r="M116" s="23" t="str">
        <x:f>IF(B116&gt;44,"Validation","Training")</x:f>
        <x:v>Training</x:v>
      </x:c>
      <x:c r="N116" s="61" t="n">
        <x:f>IF(OR(H116="",E116=0),"",K116/E116)</x:f>
        <x:v>0.5628654970760234</x:v>
      </x:c>
    </x:row>
    <x:row r="117">
      <x:c r="A117" s="28" t="n">
        <x:v>40574</x:v>
      </x:c>
      <x:c r="B117" s="23" t="n">
        <x:v>9</x:v>
      </x:c>
      <x:c r="C117" s="23" t="str">
        <x:v>47566</x:v>
      </x:c>
      <x:c r="D117" s="23" t="str">
        <x:v>PARTY BUNTING</x:v>
      </x:c>
      <x:c r="E117" s="34" t="n">
        <x:v>232</x:v>
      </x:c>
      <x:c r="F117" s="55" t="n">
        <x:v>1072.02</x:v>
      </x:c>
      <x:c r="G117" s="58" t="n">
        <x:f>E116</x:f>
        <x:v>171</x:v>
      </x:c>
      <x:c r="H117" s="58" t="n">
        <x:f>AVERAGE(E113:E116)</x:f>
        <x:v>117.5</x:v>
      </x:c>
      <x:c r="I117" s="58" t="n">
        <x:f>AVERAGE(E109:E116)</x:f>
        <x:v>86</x:v>
      </x:c>
      <x:c r="J117" s="58" t="n">
        <x:f>IF(G117="","",ABS(E117-G117))</x:f>
        <x:v>61</x:v>
      </x:c>
      <x:c r="K117" s="58" t="n">
        <x:f>IF(H117="","",ABS(E117-H117))</x:f>
        <x:v>114.5</x:v>
      </x:c>
      <x:c r="L117" s="58" t="n">
        <x:f>IF(I117="","",ABS(E117-I117))</x:f>
        <x:v>146</x:v>
      </x:c>
      <x:c r="M117" s="23" t="str">
        <x:f>IF(B117&gt;44,"Validation","Training")</x:f>
        <x:v>Training</x:v>
      </x:c>
      <x:c r="N117" s="61" t="n">
        <x:f>IF(OR(H117="",E117=0),"",K117/E117)</x:f>
        <x:v>0.49353448275862066</x:v>
      </x:c>
    </x:row>
    <x:row r="118">
      <x:c r="A118" s="28" t="n">
        <x:v>40581</x:v>
      </x:c>
      <x:c r="B118" s="23" t="n">
        <x:v>10</x:v>
      </x:c>
      <x:c r="C118" s="23" t="str">
        <x:v>47566</x:v>
      </x:c>
      <x:c r="D118" s="23" t="str">
        <x:v>PARTY BUNTING</x:v>
      </x:c>
      <x:c r="E118" s="34" t="n">
        <x:v>292</x:v>
      </x:c>
      <x:c r="F118" s="55" t="n">
        <x:v>1254.96</x:v>
      </x:c>
      <x:c r="G118" s="58" t="n">
        <x:f>E117</x:f>
        <x:v>232</x:v>
      </x:c>
      <x:c r="H118" s="58" t="n">
        <x:f>AVERAGE(E114:E117)</x:f>
        <x:v>139.25</x:v>
      </x:c>
      <x:c r="I118" s="58" t="n">
        <x:f>AVERAGE(E110:E117)</x:f>
        <x:v>94.375</x:v>
      </x:c>
      <x:c r="J118" s="58" t="n">
        <x:f>IF(G118="","",ABS(E118-G118))</x:f>
        <x:v>60</x:v>
      </x:c>
      <x:c r="K118" s="58" t="n">
        <x:f>IF(H118="","",ABS(E118-H118))</x:f>
        <x:v>152.75</x:v>
      </x:c>
      <x:c r="L118" s="58" t="n">
        <x:f>IF(I118="","",ABS(E118-I118))</x:f>
        <x:v>197.625</x:v>
      </x:c>
      <x:c r="M118" s="23" t="str">
        <x:f>IF(B118&gt;44,"Validation","Training")</x:f>
        <x:v>Training</x:v>
      </x:c>
      <x:c r="N118" s="61" t="n">
        <x:f>IF(OR(H118="",E118=0),"",K118/E118)</x:f>
        <x:v>0.5231164383561644</x:v>
      </x:c>
    </x:row>
    <x:row r="119">
      <x:c r="A119" s="28" t="n">
        <x:v>40588</x:v>
      </x:c>
      <x:c r="B119" s="23" t="n">
        <x:v>11</x:v>
      </x:c>
      <x:c r="C119" s="23" t="str">
        <x:v>47566</x:v>
      </x:c>
      <x:c r="D119" s="23" t="str">
        <x:v>PARTY BUNTING</x:v>
      </x:c>
      <x:c r="E119" s="34" t="n">
        <x:v>189</x:v>
      </x:c>
      <x:c r="F119" s="55" t="n">
        <x:v>908.11</x:v>
      </x:c>
      <x:c r="G119" s="58" t="n">
        <x:f>E118</x:f>
        <x:v>292</x:v>
      </x:c>
      <x:c r="H119" s="58" t="n">
        <x:f>AVERAGE(E115:E118)</x:f>
        <x:v>191</x:v>
      </x:c>
      <x:c r="I119" s="58" t="n">
        <x:f>AVERAGE(E111:E118)</x:f>
        <x:v>127.25</x:v>
      </x:c>
      <x:c r="J119" s="58" t="n">
        <x:f>IF(G119="","",ABS(E119-G119))</x:f>
        <x:v>103</x:v>
      </x:c>
      <x:c r="K119" s="58" t="n">
        <x:f>IF(H119="","",ABS(E119-H119))</x:f>
        <x:v>2</x:v>
      </x:c>
      <x:c r="L119" s="58" t="n">
        <x:f>IF(I119="","",ABS(E119-I119))</x:f>
        <x:v>61.75</x:v>
      </x:c>
      <x:c r="M119" s="23" t="str">
        <x:f>IF(B119&gt;44,"Validation","Training")</x:f>
        <x:v>Training</x:v>
      </x:c>
      <x:c r="N119" s="61" t="n">
        <x:f>IF(OR(H119="",E119=0),"",K119/E119)</x:f>
        <x:v>0.010582010582010581</x:v>
      </x:c>
    </x:row>
    <x:row r="120">
      <x:c r="A120" s="28" t="n">
        <x:v>40595</x:v>
      </x:c>
      <x:c r="B120" s="23" t="n">
        <x:v>12</x:v>
      </x:c>
      <x:c r="C120" s="23" t="str">
        <x:v>47566</x:v>
      </x:c>
      <x:c r="D120" s="23" t="str">
        <x:v>PARTY BUNTING</x:v>
      </x:c>
      <x:c r="E120" s="34" t="n">
        <x:v>157</x:v>
      </x:c>
      <x:c r="F120" s="55" t="n">
        <x:v>859.79</x:v>
      </x:c>
      <x:c r="G120" s="58" t="n">
        <x:f>E119</x:f>
        <x:v>189</x:v>
      </x:c>
      <x:c r="H120" s="58" t="n">
        <x:f>AVERAGE(E116:E119)</x:f>
        <x:v>221</x:v>
      </x:c>
      <x:c r="I120" s="58" t="n">
        <x:f>AVERAGE(E112:E119)</x:f>
        <x:v>147.875</x:v>
      </x:c>
      <x:c r="J120" s="58" t="n">
        <x:f>IF(G120="","",ABS(E120-G120))</x:f>
        <x:v>32</x:v>
      </x:c>
      <x:c r="K120" s="58" t="n">
        <x:f>IF(H120="","",ABS(E120-H120))</x:f>
        <x:v>64</x:v>
      </x:c>
      <x:c r="L120" s="58" t="n">
        <x:f>IF(I120="","",ABS(E120-I120))</x:f>
        <x:v>9.125</x:v>
      </x:c>
      <x:c r="M120" s="23" t="str">
        <x:f>IF(B120&gt;44,"Validation","Training")</x:f>
        <x:v>Training</x:v>
      </x:c>
      <x:c r="N120" s="61" t="n">
        <x:f>IF(OR(H120="",E120=0),"",K120/E120)</x:f>
        <x:v>0.40764331210191085</x:v>
      </x:c>
    </x:row>
    <x:row r="121">
      <x:c r="A121" s="28" t="n">
        <x:v>40602</x:v>
      </x:c>
      <x:c r="B121" s="23" t="n">
        <x:v>13</x:v>
      </x:c>
      <x:c r="C121" s="23" t="str">
        <x:v>47566</x:v>
      </x:c>
      <x:c r="D121" s="23" t="str">
        <x:v>PARTY BUNTING</x:v>
      </x:c>
      <x:c r="E121" s="34" t="n">
        <x:v>255</x:v>
      </x:c>
      <x:c r="F121" s="55" t="n">
        <x:v>1223.3</x:v>
      </x:c>
      <x:c r="G121" s="58" t="n">
        <x:f>E120</x:f>
        <x:v>157</x:v>
      </x:c>
      <x:c r="H121" s="58" t="n">
        <x:f>AVERAGE(E117:E120)</x:f>
        <x:v>217.5</x:v>
      </x:c>
      <x:c r="I121" s="58" t="n">
        <x:f>AVERAGE(E113:E120)</x:f>
        <x:v>167.5</x:v>
      </x:c>
      <x:c r="J121" s="58" t="n">
        <x:f>IF(G121="","",ABS(E121-G121))</x:f>
        <x:v>98</x:v>
      </x:c>
      <x:c r="K121" s="58" t="n">
        <x:f>IF(H121="","",ABS(E121-H121))</x:f>
        <x:v>37.5</x:v>
      </x:c>
      <x:c r="L121" s="58" t="n">
        <x:f>IF(I121="","",ABS(E121-I121))</x:f>
        <x:v>87.5</x:v>
      </x:c>
      <x:c r="M121" s="23" t="str">
        <x:f>IF(B121&gt;44,"Validation","Training")</x:f>
        <x:v>Training</x:v>
      </x:c>
      <x:c r="N121" s="61" t="n">
        <x:f>IF(OR(H121="",E121=0),"",K121/E121)</x:f>
        <x:v>0.14705882352941177</x:v>
      </x:c>
    </x:row>
    <x:row r="122">
      <x:c r="A122" s="28" t="n">
        <x:v>40609</x:v>
      </x:c>
      <x:c r="B122" s="23" t="n">
        <x:v>14</x:v>
      </x:c>
      <x:c r="C122" s="23" t="str">
        <x:v>47566</x:v>
      </x:c>
      <x:c r="D122" s="23" t="str">
        <x:v>PARTY BUNTING</x:v>
      </x:c>
      <x:c r="E122" s="34" t="n">
        <x:v>205</x:v>
      </x:c>
      <x:c r="F122" s="55" t="n">
        <x:v>1301.83</x:v>
      </x:c>
      <x:c r="G122" s="58" t="n">
        <x:f>E121</x:f>
        <x:v>255</x:v>
      </x:c>
      <x:c r="H122" s="58" t="n">
        <x:f>AVERAGE(E118:E121)</x:f>
        <x:v>223.25</x:v>
      </x:c>
      <x:c r="I122" s="58" t="n">
        <x:f>AVERAGE(E114:E121)</x:f>
        <x:v>181.25</x:v>
      </x:c>
      <x:c r="J122" s="58" t="n">
        <x:f>IF(G122="","",ABS(E122-G122))</x:f>
        <x:v>50</x:v>
      </x:c>
      <x:c r="K122" s="58" t="n">
        <x:f>IF(H122="","",ABS(E122-H122))</x:f>
        <x:v>18.25</x:v>
      </x:c>
      <x:c r="L122" s="58" t="n">
        <x:f>IF(I122="","",ABS(E122-I122))</x:f>
        <x:v>23.75</x:v>
      </x:c>
      <x:c r="M122" s="23" t="str">
        <x:f>IF(B122&gt;44,"Validation","Training")</x:f>
        <x:v>Training</x:v>
      </x:c>
      <x:c r="N122" s="61" t="n">
        <x:f>IF(OR(H122="",E122=0),"",K122/E122)</x:f>
        <x:v>0.08902439024390243</x:v>
      </x:c>
    </x:row>
    <x:row r="123">
      <x:c r="A123" s="28" t="n">
        <x:v>40616</x:v>
      </x:c>
      <x:c r="B123" s="23" t="n">
        <x:v>15</x:v>
      </x:c>
      <x:c r="C123" s="23" t="str">
        <x:v>47566</x:v>
      </x:c>
      <x:c r="D123" s="23" t="str">
        <x:v>PARTY BUNTING</x:v>
      </x:c>
      <x:c r="E123" s="34" t="n">
        <x:v>606</x:v>
      </x:c>
      <x:c r="F123" s="55" t="n">
        <x:v>2843.54</x:v>
      </x:c>
      <x:c r="G123" s="58" t="n">
        <x:f>E122</x:f>
        <x:v>205</x:v>
      </x:c>
      <x:c r="H123" s="58" t="n">
        <x:f>AVERAGE(E119:E122)</x:f>
        <x:v>201.5</x:v>
      </x:c>
      <x:c r="I123" s="58" t="n">
        <x:f>AVERAGE(E115:E122)</x:f>
        <x:v>196.25</x:v>
      </x:c>
      <x:c r="J123" s="58" t="n">
        <x:f>IF(G123="","",ABS(E123-G123))</x:f>
        <x:v>401</x:v>
      </x:c>
      <x:c r="K123" s="58" t="n">
        <x:f>IF(H123="","",ABS(E123-H123))</x:f>
        <x:v>404.5</x:v>
      </x:c>
      <x:c r="L123" s="58" t="n">
        <x:f>IF(I123="","",ABS(E123-I123))</x:f>
        <x:v>409.75</x:v>
      </x:c>
      <x:c r="M123" s="23" t="str">
        <x:f>IF(B123&gt;44,"Validation","Training")</x:f>
        <x:v>Training</x:v>
      </x:c>
      <x:c r="N123" s="61" t="n">
        <x:f>IF(OR(H123="",E123=0),"",K123/E123)</x:f>
        <x:v>0.6674917491749175</x:v>
      </x:c>
    </x:row>
    <x:row r="124">
      <x:c r="A124" s="28" t="n">
        <x:v>40623</x:v>
      </x:c>
      <x:c r="B124" s="23" t="n">
        <x:v>16</x:v>
      </x:c>
      <x:c r="C124" s="23" t="str">
        <x:v>47566</x:v>
      </x:c>
      <x:c r="D124" s="23" t="str">
        <x:v>PARTY BUNTING</x:v>
      </x:c>
      <x:c r="E124" s="34" t="n">
        <x:v>325</x:v>
      </x:c>
      <x:c r="F124" s="55" t="n">
        <x:v>1785.71</x:v>
      </x:c>
      <x:c r="G124" s="58" t="n">
        <x:f>E123</x:f>
        <x:v>606</x:v>
      </x:c>
      <x:c r="H124" s="58" t="n">
        <x:f>AVERAGE(E120:E123)</x:f>
        <x:v>305.75</x:v>
      </x:c>
      <x:c r="I124" s="58" t="n">
        <x:f>AVERAGE(E116:E123)</x:f>
        <x:v>263.375</x:v>
      </x:c>
      <x:c r="J124" s="58" t="n">
        <x:f>IF(G124="","",ABS(E124-G124))</x:f>
        <x:v>281</x:v>
      </x:c>
      <x:c r="K124" s="58" t="n">
        <x:f>IF(H124="","",ABS(E124-H124))</x:f>
        <x:v>19.25</x:v>
      </x:c>
      <x:c r="L124" s="58" t="n">
        <x:f>IF(I124="","",ABS(E124-I124))</x:f>
        <x:v>61.625</x:v>
      </x:c>
      <x:c r="M124" s="23" t="str">
        <x:f>IF(B124&gt;44,"Validation","Training")</x:f>
        <x:v>Training</x:v>
      </x:c>
      <x:c r="N124" s="61" t="n">
        <x:f>IF(OR(H124="",E124=0),"",K124/E124)</x:f>
        <x:v>0.05923076923076923</x:v>
      </x:c>
    </x:row>
    <x:row r="125">
      <x:c r="A125" s="28" t="n">
        <x:v>40630</x:v>
      </x:c>
      <x:c r="B125" s="23" t="n">
        <x:v>17</x:v>
      </x:c>
      <x:c r="C125" s="23" t="str">
        <x:v>47566</x:v>
      </x:c>
      <x:c r="D125" s="23" t="str">
        <x:v>PARTY BUNTING</x:v>
      </x:c>
      <x:c r="E125" s="34" t="n">
        <x:v>376</x:v>
      </x:c>
      <x:c r="F125" s="55" t="n">
        <x:v>2469.12</x:v>
      </x:c>
      <x:c r="G125" s="58" t="n">
        <x:f>E124</x:f>
        <x:v>325</x:v>
      </x:c>
      <x:c r="H125" s="58" t="n">
        <x:f>AVERAGE(E121:E124)</x:f>
        <x:v>347.75</x:v>
      </x:c>
      <x:c r="I125" s="58" t="n">
        <x:f>AVERAGE(E117:E124)</x:f>
        <x:v>282.625</x:v>
      </x:c>
      <x:c r="J125" s="58" t="n">
        <x:f>IF(G125="","",ABS(E125-G125))</x:f>
        <x:v>51</x:v>
      </x:c>
      <x:c r="K125" s="58" t="n">
        <x:f>IF(H125="","",ABS(E125-H125))</x:f>
        <x:v>28.25</x:v>
      </x:c>
      <x:c r="L125" s="58" t="n">
        <x:f>IF(I125="","",ABS(E125-I125))</x:f>
        <x:v>93.375</x:v>
      </x:c>
      <x:c r="M125" s="23" t="str">
        <x:f>IF(B125&gt;44,"Validation","Training")</x:f>
        <x:v>Training</x:v>
      </x:c>
      <x:c r="N125" s="61" t="n">
        <x:f>IF(OR(H125="",E125=0),"",K125/E125)</x:f>
        <x:v>0.07513297872340426</x:v>
      </x:c>
    </x:row>
    <x:row r="126">
      <x:c r="A126" s="28" t="n">
        <x:v>40637</x:v>
      </x:c>
      <x:c r="B126" s="23" t="n">
        <x:v>18</x:v>
      </x:c>
      <x:c r="C126" s="23" t="str">
        <x:v>47566</x:v>
      </x:c>
      <x:c r="D126" s="23" t="str">
        <x:v>PARTY BUNTING</x:v>
      </x:c>
      <x:c r="E126" s="34" t="n">
        <x:v>460</x:v>
      </x:c>
      <x:c r="F126" s="55" t="n">
        <x:v>2322.28</x:v>
      </x:c>
      <x:c r="G126" s="58" t="n">
        <x:f>E125</x:f>
        <x:v>376</x:v>
      </x:c>
      <x:c r="H126" s="58" t="n">
        <x:f>AVERAGE(E122:E125)</x:f>
        <x:v>378</x:v>
      </x:c>
      <x:c r="I126" s="58" t="n">
        <x:f>AVERAGE(E118:E125)</x:f>
        <x:v>300.625</x:v>
      </x:c>
      <x:c r="J126" s="58" t="n">
        <x:f>IF(G126="","",ABS(E126-G126))</x:f>
        <x:v>84</x:v>
      </x:c>
      <x:c r="K126" s="58" t="n">
        <x:f>IF(H126="","",ABS(E126-H126))</x:f>
        <x:v>82</x:v>
      </x:c>
      <x:c r="L126" s="58" t="n">
        <x:f>IF(I126="","",ABS(E126-I126))</x:f>
        <x:v>159.375</x:v>
      </x:c>
      <x:c r="M126" s="23" t="str">
        <x:f>IF(B126&gt;44,"Validation","Training")</x:f>
        <x:v>Training</x:v>
      </x:c>
      <x:c r="N126" s="61" t="n">
        <x:f>IF(OR(H126="",E126=0),"",K126/E126)</x:f>
        <x:v>0.1782608695652174</x:v>
      </x:c>
    </x:row>
    <x:row r="127">
      <x:c r="A127" s="28" t="n">
        <x:v>40644</x:v>
      </x:c>
      <x:c r="B127" s="23" t="n">
        <x:v>19</x:v>
      </x:c>
      <x:c r="C127" s="23" t="str">
        <x:v>47566</x:v>
      </x:c>
      <x:c r="D127" s="23" t="str">
        <x:v>PARTY BUNTING</x:v>
      </x:c>
      <x:c r="E127" s="34" t="n">
        <x:v>542</x:v>
      </x:c>
      <x:c r="F127" s="55" t="n">
        <x:v>3077.7</x:v>
      </x:c>
      <x:c r="G127" s="58" t="n">
        <x:f>E126</x:f>
        <x:v>460</x:v>
      </x:c>
      <x:c r="H127" s="58" t="n">
        <x:f>AVERAGE(E123:E126)</x:f>
        <x:v>441.75</x:v>
      </x:c>
      <x:c r="I127" s="58" t="n">
        <x:f>AVERAGE(E119:E126)</x:f>
        <x:v>321.625</x:v>
      </x:c>
      <x:c r="J127" s="58" t="n">
        <x:f>IF(G127="","",ABS(E127-G127))</x:f>
        <x:v>82</x:v>
      </x:c>
      <x:c r="K127" s="58" t="n">
        <x:f>IF(H127="","",ABS(E127-H127))</x:f>
        <x:v>100.25</x:v>
      </x:c>
      <x:c r="L127" s="58" t="n">
        <x:f>IF(I127="","",ABS(E127-I127))</x:f>
        <x:v>220.375</x:v>
      </x:c>
      <x:c r="M127" s="23" t="str">
        <x:f>IF(B127&gt;44,"Validation","Training")</x:f>
        <x:v>Training</x:v>
      </x:c>
      <x:c r="N127" s="61" t="n">
        <x:f>IF(OR(H127="",E127=0),"",K127/E127)</x:f>
        <x:v>0.1849630996309963</x:v>
      </x:c>
    </x:row>
    <x:row r="128">
      <x:c r="A128" s="28" t="n">
        <x:v>40651</x:v>
      </x:c>
      <x:c r="B128" s="23" t="n">
        <x:v>20</x:v>
      </x:c>
      <x:c r="C128" s="23" t="str">
        <x:v>47566</x:v>
      </x:c>
      <x:c r="D128" s="23" t="str">
        <x:v>PARTY BUNTING</x:v>
      </x:c>
      <x:c r="E128" s="34" t="n">
        <x:v>648</x:v>
      </x:c>
      <x:c r="F128" s="55" t="n">
        <x:v>3483.92</x:v>
      </x:c>
      <x:c r="G128" s="58" t="n">
        <x:f>E127</x:f>
        <x:v>542</x:v>
      </x:c>
      <x:c r="H128" s="58" t="n">
        <x:f>AVERAGE(E124:E127)</x:f>
        <x:v>425.75</x:v>
      </x:c>
      <x:c r="I128" s="58" t="n">
        <x:f>AVERAGE(E120:E127)</x:f>
        <x:v>365.75</x:v>
      </x:c>
      <x:c r="J128" s="58" t="n">
        <x:f>IF(G128="","",ABS(E128-G128))</x:f>
        <x:v>106</x:v>
      </x:c>
      <x:c r="K128" s="58" t="n">
        <x:f>IF(H128="","",ABS(E128-H128))</x:f>
        <x:v>222.25</x:v>
      </x:c>
      <x:c r="L128" s="58" t="n">
        <x:f>IF(I128="","",ABS(E128-I128))</x:f>
        <x:v>282.25</x:v>
      </x:c>
      <x:c r="M128" s="23" t="str">
        <x:f>IF(B128&gt;44,"Validation","Training")</x:f>
        <x:v>Training</x:v>
      </x:c>
      <x:c r="N128" s="61" t="n">
        <x:f>IF(OR(H128="",E128=0),"",K128/E128)</x:f>
        <x:v>0.3429783950617284</x:v>
      </x:c>
    </x:row>
    <x:row r="129">
      <x:c r="A129" s="28" t="n">
        <x:v>40658</x:v>
      </x:c>
      <x:c r="B129" s="23" t="n">
        <x:v>21</x:v>
      </x:c>
      <x:c r="C129" s="23" t="str">
        <x:v>47566</x:v>
      </x:c>
      <x:c r="D129" s="23" t="str">
        <x:v>PARTY BUNTING</x:v>
      </x:c>
      <x:c r="E129" s="34" t="n">
        <x:v>276</x:v>
      </x:c>
      <x:c r="F129" s="55" t="n">
        <x:v>1840.12</x:v>
      </x:c>
      <x:c r="G129" s="58" t="n">
        <x:f>E128</x:f>
        <x:v>648</x:v>
      </x:c>
      <x:c r="H129" s="58" t="n">
        <x:f>AVERAGE(E125:E128)</x:f>
        <x:v>506.5</x:v>
      </x:c>
      <x:c r="I129" s="58" t="n">
        <x:f>AVERAGE(E121:E128)</x:f>
        <x:v>427.125</x:v>
      </x:c>
      <x:c r="J129" s="58" t="n">
        <x:f>IF(G129="","",ABS(E129-G129))</x:f>
        <x:v>372</x:v>
      </x:c>
      <x:c r="K129" s="58" t="n">
        <x:f>IF(H129="","",ABS(E129-H129))</x:f>
        <x:v>230.5</x:v>
      </x:c>
      <x:c r="L129" s="58" t="n">
        <x:f>IF(I129="","",ABS(E129-I129))</x:f>
        <x:v>151.125</x:v>
      </x:c>
      <x:c r="M129" s="23" t="str">
        <x:f>IF(B129&gt;44,"Validation","Training")</x:f>
        <x:v>Training</x:v>
      </x:c>
      <x:c r="N129" s="61" t="n">
        <x:f>IF(OR(H129="",E129=0),"",K129/E129)</x:f>
        <x:v>0.8351449275362319</x:v>
      </x:c>
    </x:row>
    <x:row r="130">
      <x:c r="A130" s="28" t="n">
        <x:v>40665</x:v>
      </x:c>
      <x:c r="B130" s="23" t="n">
        <x:v>22</x:v>
      </x:c>
      <x:c r="C130" s="23" t="str">
        <x:v>47566</x:v>
      </x:c>
      <x:c r="D130" s="23" t="str">
        <x:v>PARTY BUNTING</x:v>
      </x:c>
      <x:c r="E130" s="34" t="n">
        <x:v>984</x:v>
      </x:c>
      <x:c r="F130" s="55" t="n">
        <x:v>5226.24</x:v>
      </x:c>
      <x:c r="G130" s="58" t="n">
        <x:f>E129</x:f>
        <x:v>276</x:v>
      </x:c>
      <x:c r="H130" s="58" t="n">
        <x:f>AVERAGE(E126:E129)</x:f>
        <x:v>481.5</x:v>
      </x:c>
      <x:c r="I130" s="58" t="n">
        <x:f>AVERAGE(E122:E129)</x:f>
        <x:v>429.75</x:v>
      </x:c>
      <x:c r="J130" s="58" t="n">
        <x:f>IF(G130="","",ABS(E130-G130))</x:f>
        <x:v>708</x:v>
      </x:c>
      <x:c r="K130" s="58" t="n">
        <x:f>IF(H130="","",ABS(E130-H130))</x:f>
        <x:v>502.5</x:v>
      </x:c>
      <x:c r="L130" s="58" t="n">
        <x:f>IF(I130="","",ABS(E130-I130))</x:f>
        <x:v>554.25</x:v>
      </x:c>
      <x:c r="M130" s="23" t="str">
        <x:f>IF(B130&gt;44,"Validation","Training")</x:f>
        <x:v>Training</x:v>
      </x:c>
      <x:c r="N130" s="61" t="n">
        <x:f>IF(OR(H130="",E130=0),"",K130/E130)</x:f>
        <x:v>0.510670731707317</x:v>
      </x:c>
    </x:row>
    <x:row r="131">
      <x:c r="A131" s="28" t="n">
        <x:v>40672</x:v>
      </x:c>
      <x:c r="B131" s="23" t="n">
        <x:v>23</x:v>
      </x:c>
      <x:c r="C131" s="23" t="str">
        <x:v>47566</x:v>
      </x:c>
      <x:c r="D131" s="23" t="str">
        <x:v>PARTY BUNTING</x:v>
      </x:c>
      <x:c r="E131" s="34" t="n">
        <x:v>756</x:v>
      </x:c>
      <x:c r="F131" s="55" t="n">
        <x:v>4021.56</x:v>
      </x:c>
      <x:c r="G131" s="58" t="n">
        <x:f>E130</x:f>
        <x:v>984</x:v>
      </x:c>
      <x:c r="H131" s="58" t="n">
        <x:f>AVERAGE(E127:E130)</x:f>
        <x:v>612.5</x:v>
      </x:c>
      <x:c r="I131" s="58" t="n">
        <x:f>AVERAGE(E123:E130)</x:f>
        <x:v>527.125</x:v>
      </x:c>
      <x:c r="J131" s="58" t="n">
        <x:f>IF(G131="","",ABS(E131-G131))</x:f>
        <x:v>228</x:v>
      </x:c>
      <x:c r="K131" s="58" t="n">
        <x:f>IF(H131="","",ABS(E131-H131))</x:f>
        <x:v>143.5</x:v>
      </x:c>
      <x:c r="L131" s="58" t="n">
        <x:f>IF(I131="","",ABS(E131-I131))</x:f>
        <x:v>228.875</x:v>
      </x:c>
      <x:c r="M131" s="23" t="str">
        <x:f>IF(B131&gt;44,"Validation","Training")</x:f>
        <x:v>Training</x:v>
      </x:c>
      <x:c r="N131" s="61" t="n">
        <x:f>IF(OR(H131="",E131=0),"",K131/E131)</x:f>
        <x:v>0.18981481481481483</x:v>
      </x:c>
    </x:row>
    <x:row r="132">
      <x:c r="A132" s="28" t="n">
        <x:v>40679</x:v>
      </x:c>
      <x:c r="B132" s="23" t="n">
        <x:v>24</x:v>
      </x:c>
      <x:c r="C132" s="23" t="str">
        <x:v>47566</x:v>
      </x:c>
      <x:c r="D132" s="23" t="str">
        <x:v>PARTY BUNTING</x:v>
      </x:c>
      <x:c r="E132" s="34" t="n">
        <x:v>754</x:v>
      </x:c>
      <x:c r="F132" s="55" t="n">
        <x:v>3918.62</x:v>
      </x:c>
      <x:c r="G132" s="58" t="n">
        <x:f>E131</x:f>
        <x:v>756</x:v>
      </x:c>
      <x:c r="H132" s="58" t="n">
        <x:f>AVERAGE(E128:E131)</x:f>
        <x:v>666</x:v>
      </x:c>
      <x:c r="I132" s="58" t="n">
        <x:f>AVERAGE(E124:E131)</x:f>
        <x:v>545.875</x:v>
      </x:c>
      <x:c r="J132" s="58" t="n">
        <x:f>IF(G132="","",ABS(E132-G132))</x:f>
        <x:v>2</x:v>
      </x:c>
      <x:c r="K132" s="58" t="n">
        <x:f>IF(H132="","",ABS(E132-H132))</x:f>
        <x:v>88</x:v>
      </x:c>
      <x:c r="L132" s="58" t="n">
        <x:f>IF(I132="","",ABS(E132-I132))</x:f>
        <x:v>208.125</x:v>
      </x:c>
      <x:c r="M132" s="23" t="str">
        <x:f>IF(B132&gt;44,"Validation","Training")</x:f>
        <x:v>Training</x:v>
      </x:c>
      <x:c r="N132" s="61" t="n">
        <x:f>IF(OR(H132="",E132=0),"",K132/E132)</x:f>
        <x:v>0.11671087533156499</x:v>
      </x:c>
    </x:row>
    <x:row r="133">
      <x:c r="A133" s="28" t="n">
        <x:v>40686</x:v>
      </x:c>
      <x:c r="B133" s="23" t="n">
        <x:v>25</x:v>
      </x:c>
      <x:c r="C133" s="23" t="str">
        <x:v>47566</x:v>
      </x:c>
      <x:c r="D133" s="23" t="str">
        <x:v>PARTY BUNTING</x:v>
      </x:c>
      <x:c r="E133" s="34" t="n">
        <x:v>839</x:v>
      </x:c>
      <x:c r="F133" s="55" t="n">
        <x:v>4652.41</x:v>
      </x:c>
      <x:c r="G133" s="58" t="n">
        <x:f>E132</x:f>
        <x:v>754</x:v>
      </x:c>
      <x:c r="H133" s="58" t="n">
        <x:f>AVERAGE(E129:E132)</x:f>
        <x:v>692.5</x:v>
      </x:c>
      <x:c r="I133" s="58" t="n">
        <x:f>AVERAGE(E125:E132)</x:f>
        <x:v>599.5</x:v>
      </x:c>
      <x:c r="J133" s="58" t="n">
        <x:f>IF(G133="","",ABS(E133-G133))</x:f>
        <x:v>85</x:v>
      </x:c>
      <x:c r="K133" s="58" t="n">
        <x:f>IF(H133="","",ABS(E133-H133))</x:f>
        <x:v>146.5</x:v>
      </x:c>
      <x:c r="L133" s="58" t="n">
        <x:f>IF(I133="","",ABS(E133-I133))</x:f>
        <x:v>239.5</x:v>
      </x:c>
      <x:c r="M133" s="23" t="str">
        <x:f>IF(B133&gt;44,"Validation","Training")</x:f>
        <x:v>Training</x:v>
      </x:c>
      <x:c r="N133" s="61" t="n">
        <x:f>IF(OR(H133="",E133=0),"",K133/E133)</x:f>
        <x:v>0.17461263408820024</x:v>
      </x:c>
    </x:row>
    <x:row r="134">
      <x:c r="A134" s="28" t="n">
        <x:v>40693</x:v>
      </x:c>
      <x:c r="B134" s="23" t="n">
        <x:v>26</x:v>
      </x:c>
      <x:c r="C134" s="23" t="str">
        <x:v>47566</x:v>
      </x:c>
      <x:c r="D134" s="23" t="str">
        <x:v>PARTY BUNTING</x:v>
      </x:c>
      <x:c r="E134" s="34" t="n">
        <x:v>434</x:v>
      </x:c>
      <x:c r="F134" s="55" t="n">
        <x:v>2327.02</x:v>
      </x:c>
      <x:c r="G134" s="58" t="n">
        <x:f>E133</x:f>
        <x:v>839</x:v>
      </x:c>
      <x:c r="H134" s="58" t="n">
        <x:f>AVERAGE(E130:E133)</x:f>
        <x:v>833.25</x:v>
      </x:c>
      <x:c r="I134" s="58" t="n">
        <x:f>AVERAGE(E126:E133)</x:f>
        <x:v>657.375</x:v>
      </x:c>
      <x:c r="J134" s="58" t="n">
        <x:f>IF(G134="","",ABS(E134-G134))</x:f>
        <x:v>405</x:v>
      </x:c>
      <x:c r="K134" s="58" t="n">
        <x:f>IF(H134="","",ABS(E134-H134))</x:f>
        <x:v>399.25</x:v>
      </x:c>
      <x:c r="L134" s="58" t="n">
        <x:f>IF(I134="","",ABS(E134-I134))</x:f>
        <x:v>223.375</x:v>
      </x:c>
      <x:c r="M134" s="23" t="str">
        <x:f>IF(B134&gt;44,"Validation","Training")</x:f>
        <x:v>Training</x:v>
      </x:c>
      <x:c r="N134" s="61" t="n">
        <x:f>IF(OR(H134="",E134=0),"",K134/E134)</x:f>
        <x:v>0.9199308755760369</x:v>
      </x:c>
    </x:row>
    <x:row r="135">
      <x:c r="A135" s="28" t="n">
        <x:v>40700</x:v>
      </x:c>
      <x:c r="B135" s="23" t="n">
        <x:v>27</x:v>
      </x:c>
      <x:c r="C135" s="23" t="str">
        <x:v>47566</x:v>
      </x:c>
      <x:c r="D135" s="23" t="str">
        <x:v>PARTY BUNTING</x:v>
      </x:c>
      <x:c r="E135" s="34" t="n">
        <x:v>663</x:v>
      </x:c>
      <x:c r="F135" s="55" t="n">
        <x:v>4019.93</x:v>
      </x:c>
      <x:c r="G135" s="58" t="n">
        <x:f>E134</x:f>
        <x:v>434</x:v>
      </x:c>
      <x:c r="H135" s="58" t="n">
        <x:f>AVERAGE(E131:E134)</x:f>
        <x:v>695.75</x:v>
      </x:c>
      <x:c r="I135" s="58" t="n">
        <x:f>AVERAGE(E127:E134)</x:f>
        <x:v>654.125</x:v>
      </x:c>
      <x:c r="J135" s="58" t="n">
        <x:f>IF(G135="","",ABS(E135-G135))</x:f>
        <x:v>229</x:v>
      </x:c>
      <x:c r="K135" s="58" t="n">
        <x:f>IF(H135="","",ABS(E135-H135))</x:f>
        <x:v>32.75</x:v>
      </x:c>
      <x:c r="L135" s="58" t="n">
        <x:f>IF(I135="","",ABS(E135-I135))</x:f>
        <x:v>8.875</x:v>
      </x:c>
      <x:c r="M135" s="23" t="str">
        <x:f>IF(B135&gt;44,"Validation","Training")</x:f>
        <x:v>Training</x:v>
      </x:c>
      <x:c r="N135" s="61" t="n">
        <x:f>IF(OR(H135="",E135=0),"",K135/E135)</x:f>
        <x:v>0.049396681749622924</x:v>
      </x:c>
    </x:row>
    <x:row r="136">
      <x:c r="A136" s="28" t="n">
        <x:v>40707</x:v>
      </x:c>
      <x:c r="B136" s="23" t="n">
        <x:v>28</x:v>
      </x:c>
      <x:c r="C136" s="23" t="str">
        <x:v>47566</x:v>
      </x:c>
      <x:c r="D136" s="23" t="str">
        <x:v>PARTY BUNTING</x:v>
      </x:c>
      <x:c r="E136" s="34" t="n">
        <x:v>507</x:v>
      </x:c>
      <x:c r="F136" s="55" t="n">
        <x:v>2932.77</x:v>
      </x:c>
      <x:c r="G136" s="58" t="n">
        <x:f>E135</x:f>
        <x:v>663</x:v>
      </x:c>
      <x:c r="H136" s="58" t="n">
        <x:f>AVERAGE(E132:E135)</x:f>
        <x:v>672.5</x:v>
      </x:c>
      <x:c r="I136" s="58" t="n">
        <x:f>AVERAGE(E128:E135)</x:f>
        <x:v>669.25</x:v>
      </x:c>
      <x:c r="J136" s="58" t="n">
        <x:f>IF(G136="","",ABS(E136-G136))</x:f>
        <x:v>156</x:v>
      </x:c>
      <x:c r="K136" s="58" t="n">
        <x:f>IF(H136="","",ABS(E136-H136))</x:f>
        <x:v>165.5</x:v>
      </x:c>
      <x:c r="L136" s="58" t="n">
        <x:f>IF(I136="","",ABS(E136-I136))</x:f>
        <x:v>162.25</x:v>
      </x:c>
      <x:c r="M136" s="23" t="str">
        <x:f>IF(B136&gt;44,"Validation","Training")</x:f>
        <x:v>Training</x:v>
      </x:c>
      <x:c r="N136" s="61" t="n">
        <x:f>IF(OR(H136="",E136=0),"",K136/E136)</x:f>
        <x:v>0.3264299802761341</x:v>
      </x:c>
    </x:row>
    <x:row r="137">
      <x:c r="A137" s="28" t="n">
        <x:v>40714</x:v>
      </x:c>
      <x:c r="B137" s="23" t="n">
        <x:v>29</x:v>
      </x:c>
      <x:c r="C137" s="23" t="str">
        <x:v>47566</x:v>
      </x:c>
      <x:c r="D137" s="23" t="str">
        <x:v>PARTY BUNTING</x:v>
      </x:c>
      <x:c r="E137" s="34" t="n">
        <x:v>598</x:v>
      </x:c>
      <x:c r="F137" s="55" t="n">
        <x:v>2873.7</x:v>
      </x:c>
      <x:c r="G137" s="58" t="n">
        <x:f>E136</x:f>
        <x:v>507</x:v>
      </x:c>
      <x:c r="H137" s="58" t="n">
        <x:f>AVERAGE(E133:E136)</x:f>
        <x:v>610.75</x:v>
      </x:c>
      <x:c r="I137" s="58" t="n">
        <x:f>AVERAGE(E129:E136)</x:f>
        <x:v>651.625</x:v>
      </x:c>
      <x:c r="J137" s="58" t="n">
        <x:f>IF(G137="","",ABS(E137-G137))</x:f>
        <x:v>91</x:v>
      </x:c>
      <x:c r="K137" s="58" t="n">
        <x:f>IF(H137="","",ABS(E137-H137))</x:f>
        <x:v>12.75</x:v>
      </x:c>
      <x:c r="L137" s="58" t="n">
        <x:f>IF(I137="","",ABS(E137-I137))</x:f>
        <x:v>53.625</x:v>
      </x:c>
      <x:c r="M137" s="23" t="str">
        <x:f>IF(B137&gt;44,"Validation","Training")</x:f>
        <x:v>Training</x:v>
      </x:c>
      <x:c r="N137" s="61" t="n">
        <x:f>IF(OR(H137="",E137=0),"",K137/E137)</x:f>
        <x:v>0.021321070234113712</x:v>
      </x:c>
    </x:row>
    <x:row r="138">
      <x:c r="A138" s="28" t="n">
        <x:v>40721</x:v>
      </x:c>
      <x:c r="B138" s="23" t="n">
        <x:v>30</x:v>
      </x:c>
      <x:c r="C138" s="23" t="str">
        <x:v>47566</x:v>
      </x:c>
      <x:c r="D138" s="23" t="str">
        <x:v>PARTY BUNTING</x:v>
      </x:c>
      <x:c r="E138" s="34" t="n">
        <x:v>276</x:v>
      </x:c>
      <x:c r="F138" s="55" t="n">
        <x:v>1880.12</x:v>
      </x:c>
      <x:c r="G138" s="58" t="n">
        <x:f>E137</x:f>
        <x:v>598</x:v>
      </x:c>
      <x:c r="H138" s="58" t="n">
        <x:f>AVERAGE(E134:E137)</x:f>
        <x:v>550.5</x:v>
      </x:c>
      <x:c r="I138" s="58" t="n">
        <x:f>AVERAGE(E130:E137)</x:f>
        <x:v>691.875</x:v>
      </x:c>
      <x:c r="J138" s="58" t="n">
        <x:f>IF(G138="","",ABS(E138-G138))</x:f>
        <x:v>322</x:v>
      </x:c>
      <x:c r="K138" s="58" t="n">
        <x:f>IF(H138="","",ABS(E138-H138))</x:f>
        <x:v>274.5</x:v>
      </x:c>
      <x:c r="L138" s="58" t="n">
        <x:f>IF(I138="","",ABS(E138-I138))</x:f>
        <x:v>415.875</x:v>
      </x:c>
      <x:c r="M138" s="23" t="str">
        <x:f>IF(B138&gt;44,"Validation","Training")</x:f>
        <x:v>Training</x:v>
      </x:c>
      <x:c r="N138" s="61" t="n">
        <x:f>IF(OR(H138="",E138=0),"",K138/E138)</x:f>
        <x:v>0.9945652173913043</x:v>
      </x:c>
    </x:row>
    <x:row r="139">
      <x:c r="A139" s="28" t="n">
        <x:v>40728</x:v>
      </x:c>
      <x:c r="B139" s="23" t="n">
        <x:v>31</x:v>
      </x:c>
      <x:c r="C139" s="23" t="str">
        <x:v>47566</x:v>
      </x:c>
      <x:c r="D139" s="23" t="str">
        <x:v>PARTY BUNTING</x:v>
      </x:c>
      <x:c r="E139" s="34" t="n">
        <x:v>901</x:v>
      </x:c>
      <x:c r="F139" s="55" t="n">
        <x:v>4796.67</x:v>
      </x:c>
      <x:c r="G139" s="58" t="n">
        <x:f>E138</x:f>
        <x:v>276</x:v>
      </x:c>
      <x:c r="H139" s="58" t="n">
        <x:f>AVERAGE(E135:E138)</x:f>
        <x:v>511</x:v>
      </x:c>
      <x:c r="I139" s="58" t="n">
        <x:f>AVERAGE(E131:E138)</x:f>
        <x:v>603.375</x:v>
      </x:c>
      <x:c r="J139" s="58" t="n">
        <x:f>IF(G139="","",ABS(E139-G139))</x:f>
        <x:v>625</x:v>
      </x:c>
      <x:c r="K139" s="58" t="n">
        <x:f>IF(H139="","",ABS(E139-H139))</x:f>
        <x:v>390</x:v>
      </x:c>
      <x:c r="L139" s="58" t="n">
        <x:f>IF(I139="","",ABS(E139-I139))</x:f>
        <x:v>297.625</x:v>
      </x:c>
      <x:c r="M139" s="23" t="str">
        <x:f>IF(B139&gt;44,"Validation","Training")</x:f>
        <x:v>Training</x:v>
      </x:c>
      <x:c r="N139" s="61" t="n">
        <x:f>IF(OR(H139="",E139=0),"",K139/E139)</x:f>
        <x:v>0.4328523862375139</x:v>
      </x:c>
    </x:row>
    <x:row r="140">
      <x:c r="A140" s="28" t="n">
        <x:v>40735</x:v>
      </x:c>
      <x:c r="B140" s="23" t="n">
        <x:v>32</x:v>
      </x:c>
      <x:c r="C140" s="23" t="str">
        <x:v>47566</x:v>
      </x:c>
      <x:c r="D140" s="23" t="str">
        <x:v>PARTY BUNTING</x:v>
      </x:c>
      <x:c r="E140" s="34" t="n">
        <x:v>354</x:v>
      </x:c>
      <x:c r="F140" s="55" t="n">
        <x:v>1795.82</x:v>
      </x:c>
      <x:c r="G140" s="58" t="n">
        <x:f>E139</x:f>
        <x:v>901</x:v>
      </x:c>
      <x:c r="H140" s="58" t="n">
        <x:f>AVERAGE(E136:E139)</x:f>
        <x:v>570.5</x:v>
      </x:c>
      <x:c r="I140" s="58" t="n">
        <x:f>AVERAGE(E132:E139)</x:f>
        <x:v>621.5</x:v>
      </x:c>
      <x:c r="J140" s="58" t="n">
        <x:f>IF(G140="","",ABS(E140-G140))</x:f>
        <x:v>547</x:v>
      </x:c>
      <x:c r="K140" s="58" t="n">
        <x:f>IF(H140="","",ABS(E140-H140))</x:f>
        <x:v>216.5</x:v>
      </x:c>
      <x:c r="L140" s="58" t="n">
        <x:f>IF(I140="","",ABS(E140-I140))</x:f>
        <x:v>267.5</x:v>
      </x:c>
      <x:c r="M140" s="23" t="str">
        <x:f>IF(B140&gt;44,"Validation","Training")</x:f>
        <x:v>Training</x:v>
      </x:c>
      <x:c r="N140" s="61" t="n">
        <x:f>IF(OR(H140="",E140=0),"",K140/E140)</x:f>
        <x:v>0.6115819209039548</x:v>
      </x:c>
    </x:row>
    <x:row r="141">
      <x:c r="A141" s="28" t="n">
        <x:v>40742</x:v>
      </x:c>
      <x:c r="B141" s="23" t="n">
        <x:v>33</x:v>
      </x:c>
      <x:c r="C141" s="23" t="str">
        <x:v>47566</x:v>
      </x:c>
      <x:c r="D141" s="23" t="str">
        <x:v>PARTY BUNTING</x:v>
      </x:c>
      <x:c r="E141" s="34" t="n">
        <x:v>935</x:v>
      </x:c>
      <x:c r="F141" s="55" t="n">
        <x:v>5009.73</x:v>
      </x:c>
      <x:c r="G141" s="58" t="n">
        <x:f>E140</x:f>
        <x:v>354</x:v>
      </x:c>
      <x:c r="H141" s="58" t="n">
        <x:f>AVERAGE(E137:E140)</x:f>
        <x:v>532.25</x:v>
      </x:c>
      <x:c r="I141" s="58" t="n">
        <x:f>AVERAGE(E133:E140)</x:f>
        <x:v>571.5</x:v>
      </x:c>
      <x:c r="J141" s="58" t="n">
        <x:f>IF(G141="","",ABS(E141-G141))</x:f>
        <x:v>581</x:v>
      </x:c>
      <x:c r="K141" s="58" t="n">
        <x:f>IF(H141="","",ABS(E141-H141))</x:f>
        <x:v>402.75</x:v>
      </x:c>
      <x:c r="L141" s="58" t="n">
        <x:f>IF(I141="","",ABS(E141-I141))</x:f>
        <x:v>363.5</x:v>
      </x:c>
      <x:c r="M141" s="23" t="str">
        <x:f>IF(B141&gt;44,"Validation","Training")</x:f>
        <x:v>Training</x:v>
      </x:c>
      <x:c r="N141" s="61" t="n">
        <x:f>IF(OR(H141="",E141=0),"",K141/E141)</x:f>
        <x:v>0.43074866310160426</x:v>
      </x:c>
    </x:row>
    <x:row r="142">
      <x:c r="A142" s="28" t="n">
        <x:v>40749</x:v>
      </x:c>
      <x:c r="B142" s="23" t="n">
        <x:v>34</x:v>
      </x:c>
      <x:c r="C142" s="23" t="str">
        <x:v>47566</x:v>
      </x:c>
      <x:c r="D142" s="23" t="str">
        <x:v>PARTY BUNTING</x:v>
      </x:c>
      <x:c r="E142" s="34" t="n">
        <x:v>520</x:v>
      </x:c>
      <x:c r="F142" s="55" t="n">
        <x:v>2736.68</x:v>
      </x:c>
      <x:c r="G142" s="58" t="n">
        <x:f>E141</x:f>
        <x:v>935</x:v>
      </x:c>
      <x:c r="H142" s="58" t="n">
        <x:f>AVERAGE(E138:E141)</x:f>
        <x:v>616.5</x:v>
      </x:c>
      <x:c r="I142" s="58" t="n">
        <x:f>AVERAGE(E134:E141)</x:f>
        <x:v>583.5</x:v>
      </x:c>
      <x:c r="J142" s="58" t="n">
        <x:f>IF(G142="","",ABS(E142-G142))</x:f>
        <x:v>415</x:v>
      </x:c>
      <x:c r="K142" s="58" t="n">
        <x:f>IF(H142="","",ABS(E142-H142))</x:f>
        <x:v>96.5</x:v>
      </x:c>
      <x:c r="L142" s="58" t="n">
        <x:f>IF(I142="","",ABS(E142-I142))</x:f>
        <x:v>63.5</x:v>
      </x:c>
      <x:c r="M142" s="23" t="str">
        <x:f>IF(B142&gt;44,"Validation","Training")</x:f>
        <x:v>Training</x:v>
      </x:c>
      <x:c r="N142" s="61" t="n">
        <x:f>IF(OR(H142="",E142=0),"",K142/E142)</x:f>
        <x:v>0.18557692307692308</x:v>
      </x:c>
    </x:row>
    <x:row r="143">
      <x:c r="A143" s="28" t="n">
        <x:v>40756</x:v>
      </x:c>
      <x:c r="B143" s="23" t="n">
        <x:v>35</x:v>
      </x:c>
      <x:c r="C143" s="23" t="str">
        <x:v>47566</x:v>
      </x:c>
      <x:c r="D143" s="23" t="str">
        <x:v>PARTY BUNTING</x:v>
      </x:c>
      <x:c r="E143" s="34" t="n">
        <x:v>431</x:v>
      </x:c>
      <x:c r="F143" s="55" t="n">
        <x:v>2468.21</x:v>
      </x:c>
      <x:c r="G143" s="58" t="n">
        <x:f>E142</x:f>
        <x:v>520</x:v>
      </x:c>
      <x:c r="H143" s="58" t="n">
        <x:f>AVERAGE(E139:E142)</x:f>
        <x:v>677.5</x:v>
      </x:c>
      <x:c r="I143" s="58" t="n">
        <x:f>AVERAGE(E135:E142)</x:f>
        <x:v>594.25</x:v>
      </x:c>
      <x:c r="J143" s="58" t="n">
        <x:f>IF(G143="","",ABS(E143-G143))</x:f>
        <x:v>89</x:v>
      </x:c>
      <x:c r="K143" s="58" t="n">
        <x:f>IF(H143="","",ABS(E143-H143))</x:f>
        <x:v>246.5</x:v>
      </x:c>
      <x:c r="L143" s="58" t="n">
        <x:f>IF(I143="","",ABS(E143-I143))</x:f>
        <x:v>163.25</x:v>
      </x:c>
      <x:c r="M143" s="23" t="str">
        <x:f>IF(B143&gt;44,"Validation","Training")</x:f>
        <x:v>Training</x:v>
      </x:c>
      <x:c r="N143" s="61" t="n">
        <x:f>IF(OR(H143="",E143=0),"",K143/E143)</x:f>
        <x:v>0.5719257540603249</x:v>
      </x:c>
    </x:row>
    <x:row r="144">
      <x:c r="A144" s="28" t="n">
        <x:v>40763</x:v>
      </x:c>
      <x:c r="B144" s="23" t="n">
        <x:v>36</x:v>
      </x:c>
      <x:c r="C144" s="23" t="str">
        <x:v>47566</x:v>
      </x:c>
      <x:c r="D144" s="23" t="str">
        <x:v>PARTY BUNTING</x:v>
      </x:c>
      <x:c r="E144" s="34" t="n">
        <x:v>330</x:v>
      </x:c>
      <x:c r="F144" s="55" t="n">
        <x:v>1938.94</x:v>
      </x:c>
      <x:c r="G144" s="58" t="n">
        <x:f>E143</x:f>
        <x:v>431</x:v>
      </x:c>
      <x:c r="H144" s="58" t="n">
        <x:f>AVERAGE(E140:E143)</x:f>
        <x:v>560</x:v>
      </x:c>
      <x:c r="I144" s="58" t="n">
        <x:f>AVERAGE(E136:E143)</x:f>
        <x:v>565.25</x:v>
      </x:c>
      <x:c r="J144" s="58" t="n">
        <x:f>IF(G144="","",ABS(E144-G144))</x:f>
        <x:v>101</x:v>
      </x:c>
      <x:c r="K144" s="58" t="n">
        <x:f>IF(H144="","",ABS(E144-H144))</x:f>
        <x:v>230</x:v>
      </x:c>
      <x:c r="L144" s="58" t="n">
        <x:f>IF(I144="","",ABS(E144-I144))</x:f>
        <x:v>235.25</x:v>
      </x:c>
      <x:c r="M144" s="23" t="str">
        <x:f>IF(B144&gt;44,"Validation","Training")</x:f>
        <x:v>Training</x:v>
      </x:c>
      <x:c r="N144" s="61" t="n">
        <x:f>IF(OR(H144="",E144=0),"",K144/E144)</x:f>
        <x:v>0.696969696969697</x:v>
      </x:c>
    </x:row>
    <x:row r="145">
      <x:c r="A145" s="28" t="n">
        <x:v>40770</x:v>
      </x:c>
      <x:c r="B145" s="23" t="n">
        <x:v>37</x:v>
      </x:c>
      <x:c r="C145" s="23" t="str">
        <x:v>47566</x:v>
      </x:c>
      <x:c r="D145" s="23" t="str">
        <x:v>PARTY BUNTING</x:v>
      </x:c>
      <x:c r="E145" s="34" t="n">
        <x:v>402</x:v>
      </x:c>
      <x:c r="F145" s="55" t="n">
        <x:v>2050.94</x:v>
      </x:c>
      <x:c r="G145" s="58" t="n">
        <x:f>E144</x:f>
        <x:v>330</x:v>
      </x:c>
      <x:c r="H145" s="58" t="n">
        <x:f>AVERAGE(E141:E144)</x:f>
        <x:v>554</x:v>
      </x:c>
      <x:c r="I145" s="58" t="n">
        <x:f>AVERAGE(E137:E144)</x:f>
        <x:v>543.125</x:v>
      </x:c>
      <x:c r="J145" s="58" t="n">
        <x:f>IF(G145="","",ABS(E145-G145))</x:f>
        <x:v>72</x:v>
      </x:c>
      <x:c r="K145" s="58" t="n">
        <x:f>IF(H145="","",ABS(E145-H145))</x:f>
        <x:v>152</x:v>
      </x:c>
      <x:c r="L145" s="58" t="n">
        <x:f>IF(I145="","",ABS(E145-I145))</x:f>
        <x:v>141.125</x:v>
      </x:c>
      <x:c r="M145" s="23" t="str">
        <x:f>IF(B145&gt;44,"Validation","Training")</x:f>
        <x:v>Training</x:v>
      </x:c>
      <x:c r="N145" s="61" t="n">
        <x:f>IF(OR(H145="",E145=0),"",K145/E145)</x:f>
        <x:v>0.3781094527363184</x:v>
      </x:c>
    </x:row>
    <x:row r="146">
      <x:c r="A146" s="28" t="n">
        <x:v>40777</x:v>
      </x:c>
      <x:c r="B146" s="23" t="n">
        <x:v>38</x:v>
      </x:c>
      <x:c r="C146" s="23" t="str">
        <x:v>47566</x:v>
      </x:c>
      <x:c r="D146" s="23" t="str">
        <x:v>PARTY BUNTING</x:v>
      </x:c>
      <x:c r="E146" s="34" t="n">
        <x:v>471</x:v>
      </x:c>
      <x:c r="F146" s="55" t="n">
        <x:v>2730.41</x:v>
      </x:c>
      <x:c r="G146" s="58" t="n">
        <x:f>E145</x:f>
        <x:v>402</x:v>
      </x:c>
      <x:c r="H146" s="58" t="n">
        <x:f>AVERAGE(E142:E145)</x:f>
        <x:v>420.75</x:v>
      </x:c>
      <x:c r="I146" s="58" t="n">
        <x:f>AVERAGE(E138:E145)</x:f>
        <x:v>518.625</x:v>
      </x:c>
      <x:c r="J146" s="58" t="n">
        <x:f>IF(G146="","",ABS(E146-G146))</x:f>
        <x:v>69</x:v>
      </x:c>
      <x:c r="K146" s="58" t="n">
        <x:f>IF(H146="","",ABS(E146-H146))</x:f>
        <x:v>50.25</x:v>
      </x:c>
      <x:c r="L146" s="58" t="n">
        <x:f>IF(I146="","",ABS(E146-I146))</x:f>
        <x:v>47.625</x:v>
      </x:c>
      <x:c r="M146" s="23" t="str">
        <x:f>IF(B146&gt;44,"Validation","Training")</x:f>
        <x:v>Training</x:v>
      </x:c>
      <x:c r="N146" s="61" t="n">
        <x:f>IF(OR(H146="",E146=0),"",K146/E146)</x:f>
        <x:v>0.10668789808917198</x:v>
      </x:c>
    </x:row>
    <x:row r="147">
      <x:c r="A147" s="28" t="n">
        <x:v>40784</x:v>
      </x:c>
      <x:c r="B147" s="23" t="n">
        <x:v>39</x:v>
      </x:c>
      <x:c r="C147" s="23" t="str">
        <x:v>47566</x:v>
      </x:c>
      <x:c r="D147" s="23" t="str">
        <x:v>PARTY BUNTING</x:v>
      </x:c>
      <x:c r="E147" s="34" t="n">
        <x:v>207</x:v>
      </x:c>
      <x:c r="F147" s="55" t="n">
        <x:v>1410.09</x:v>
      </x:c>
      <x:c r="G147" s="58" t="n">
        <x:f>E146</x:f>
        <x:v>471</x:v>
      </x:c>
      <x:c r="H147" s="58" t="n">
        <x:f>AVERAGE(E143:E146)</x:f>
        <x:v>408.5</x:v>
      </x:c>
      <x:c r="I147" s="58" t="n">
        <x:f>AVERAGE(E139:E146)</x:f>
        <x:v>543</x:v>
      </x:c>
      <x:c r="J147" s="58" t="n">
        <x:f>IF(G147="","",ABS(E147-G147))</x:f>
        <x:v>264</x:v>
      </x:c>
      <x:c r="K147" s="58" t="n">
        <x:f>IF(H147="","",ABS(E147-H147))</x:f>
        <x:v>201.5</x:v>
      </x:c>
      <x:c r="L147" s="58" t="n">
        <x:f>IF(I147="","",ABS(E147-I147))</x:f>
        <x:v>336</x:v>
      </x:c>
      <x:c r="M147" s="23" t="str">
        <x:f>IF(B147&gt;44,"Validation","Training")</x:f>
        <x:v>Training</x:v>
      </x:c>
      <x:c r="N147" s="61" t="n">
        <x:f>IF(OR(H147="",E147=0),"",K147/E147)</x:f>
        <x:v>0.9734299516908212</x:v>
      </x:c>
    </x:row>
    <x:row r="148">
      <x:c r="A148" s="28" t="n">
        <x:v>40791</x:v>
      </x:c>
      <x:c r="B148" s="23" t="n">
        <x:v>40</x:v>
      </x:c>
      <x:c r="C148" s="23" t="str">
        <x:v>47566</x:v>
      </x:c>
      <x:c r="D148" s="23" t="str">
        <x:v>PARTY BUNTING</x:v>
      </x:c>
      <x:c r="E148" s="34" t="n">
        <x:v>300</x:v>
      </x:c>
      <x:c r="F148" s="55" t="n">
        <x:v>1825.4</x:v>
      </x:c>
      <x:c r="G148" s="58" t="n">
        <x:f>E147</x:f>
        <x:v>207</x:v>
      </x:c>
      <x:c r="H148" s="58" t="n">
        <x:f>AVERAGE(E144:E147)</x:f>
        <x:v>352.5</x:v>
      </x:c>
      <x:c r="I148" s="58" t="n">
        <x:f>AVERAGE(E140:E147)</x:f>
        <x:v>456.25</x:v>
      </x:c>
      <x:c r="J148" s="58" t="n">
        <x:f>IF(G148="","",ABS(E148-G148))</x:f>
        <x:v>93</x:v>
      </x:c>
      <x:c r="K148" s="58" t="n">
        <x:f>IF(H148="","",ABS(E148-H148))</x:f>
        <x:v>52.5</x:v>
      </x:c>
      <x:c r="L148" s="58" t="n">
        <x:f>IF(I148="","",ABS(E148-I148))</x:f>
        <x:v>156.25</x:v>
      </x:c>
      <x:c r="M148" s="23" t="str">
        <x:f>IF(B148&gt;44,"Validation","Training")</x:f>
        <x:v>Training</x:v>
      </x:c>
      <x:c r="N148" s="61" t="n">
        <x:f>IF(OR(H148="",E148=0),"",K148/E148)</x:f>
        <x:v>0.175</x:v>
      </x:c>
    </x:row>
    <x:row r="149">
      <x:c r="A149" s="28" t="n">
        <x:v>40798</x:v>
      </x:c>
      <x:c r="B149" s="23" t="n">
        <x:v>41</x:v>
      </x:c>
      <x:c r="C149" s="23" t="str">
        <x:v>47566</x:v>
      </x:c>
      <x:c r="D149" s="23" t="str">
        <x:v>PARTY BUNTING</x:v>
      </x:c>
      <x:c r="E149" s="34" t="n">
        <x:v>334</x:v>
      </x:c>
      <x:c r="F149" s="55" t="n">
        <x:v>1668.5</x:v>
      </x:c>
      <x:c r="G149" s="58" t="n">
        <x:f>E148</x:f>
        <x:v>300</x:v>
      </x:c>
      <x:c r="H149" s="58" t="n">
        <x:f>AVERAGE(E145:E148)</x:f>
        <x:v>345</x:v>
      </x:c>
      <x:c r="I149" s="58" t="n">
        <x:f>AVERAGE(E141:E148)</x:f>
        <x:v>449.5</x:v>
      </x:c>
      <x:c r="J149" s="58" t="n">
        <x:f>IF(G149="","",ABS(E149-G149))</x:f>
        <x:v>34</x:v>
      </x:c>
      <x:c r="K149" s="58" t="n">
        <x:f>IF(H149="","",ABS(E149-H149))</x:f>
        <x:v>11</x:v>
      </x:c>
      <x:c r="L149" s="58" t="n">
        <x:f>IF(I149="","",ABS(E149-I149))</x:f>
        <x:v>115.5</x:v>
      </x:c>
      <x:c r="M149" s="23" t="str">
        <x:f>IF(B149&gt;44,"Validation","Training")</x:f>
        <x:v>Training</x:v>
      </x:c>
      <x:c r="N149" s="61" t="n">
        <x:f>IF(OR(H149="",E149=0),"",K149/E149)</x:f>
        <x:v>0.03293413173652695</x:v>
      </x:c>
    </x:row>
    <x:row r="150">
      <x:c r="A150" s="28" t="n">
        <x:v>40805</x:v>
      </x:c>
      <x:c r="B150" s="23" t="n">
        <x:v>42</x:v>
      </x:c>
      <x:c r="C150" s="23" t="str">
        <x:v>47566</x:v>
      </x:c>
      <x:c r="D150" s="23" t="str">
        <x:v>PARTY BUNTING</x:v>
      </x:c>
      <x:c r="E150" s="34" t="n">
        <x:v>158</x:v>
      </x:c>
      <x:c r="F150" s="55" t="n">
        <x:v>978.5</x:v>
      </x:c>
      <x:c r="G150" s="58" t="n">
        <x:f>E149</x:f>
        <x:v>334</x:v>
      </x:c>
      <x:c r="H150" s="58" t="n">
        <x:f>AVERAGE(E146:E149)</x:f>
        <x:v>328</x:v>
      </x:c>
      <x:c r="I150" s="58" t="n">
        <x:f>AVERAGE(E142:E149)</x:f>
        <x:v>374.375</x:v>
      </x:c>
      <x:c r="J150" s="58" t="n">
        <x:f>IF(G150="","",ABS(E150-G150))</x:f>
        <x:v>176</x:v>
      </x:c>
      <x:c r="K150" s="58" t="n">
        <x:f>IF(H150="","",ABS(E150-H150))</x:f>
        <x:v>170</x:v>
      </x:c>
      <x:c r="L150" s="58" t="n">
        <x:f>IF(I150="","",ABS(E150-I150))</x:f>
        <x:v>216.375</x:v>
      </x:c>
      <x:c r="M150" s="23" t="str">
        <x:f>IF(B150&gt;44,"Validation","Training")</x:f>
        <x:v>Training</x:v>
      </x:c>
      <x:c r="N150" s="61" t="n">
        <x:f>IF(OR(H150="",E150=0),"",K150/E150)</x:f>
        <x:v>1.0759493670886076</x:v>
      </x:c>
    </x:row>
    <x:row r="151">
      <x:c r="A151" s="28" t="n">
        <x:v>40812</x:v>
      </x:c>
      <x:c r="B151" s="23" t="n">
        <x:v>43</x:v>
      </x:c>
      <x:c r="C151" s="23" t="str">
        <x:v>47566</x:v>
      </x:c>
      <x:c r="D151" s="23" t="str">
        <x:v>PARTY BUNTING</x:v>
      </x:c>
      <x:c r="E151" s="34" t="n">
        <x:v>209</x:v>
      </x:c>
      <x:c r="F151" s="55" t="n">
        <x:v>1076.31</x:v>
      </x:c>
      <x:c r="G151" s="58" t="n">
        <x:f>E150</x:f>
        <x:v>158</x:v>
      </x:c>
      <x:c r="H151" s="58" t="n">
        <x:f>AVERAGE(E147:E150)</x:f>
        <x:v>249.75</x:v>
      </x:c>
      <x:c r="I151" s="58" t="n">
        <x:f>AVERAGE(E143:E150)</x:f>
        <x:v>329.125</x:v>
      </x:c>
      <x:c r="J151" s="58" t="n">
        <x:f>IF(G151="","",ABS(E151-G151))</x:f>
        <x:v>51</x:v>
      </x:c>
      <x:c r="K151" s="58" t="n">
        <x:f>IF(H151="","",ABS(E151-H151))</x:f>
        <x:v>40.75</x:v>
      </x:c>
      <x:c r="L151" s="58" t="n">
        <x:f>IF(I151="","",ABS(E151-I151))</x:f>
        <x:v>120.125</x:v>
      </x:c>
      <x:c r="M151" s="23" t="str">
        <x:f>IF(B151&gt;44,"Validation","Training")</x:f>
        <x:v>Training</x:v>
      </x:c>
      <x:c r="N151" s="61" t="n">
        <x:f>IF(OR(H151="",E151=0),"",K151/E151)</x:f>
        <x:v>0.19497607655502391</x:v>
      </x:c>
    </x:row>
    <x:row r="152">
      <x:c r="A152" s="28" t="n">
        <x:v>40819</x:v>
      </x:c>
      <x:c r="B152" s="23" t="n">
        <x:v>44</x:v>
      </x:c>
      <x:c r="C152" s="23" t="str">
        <x:v>47566</x:v>
      </x:c>
      <x:c r="D152" s="23" t="str">
        <x:v>PARTY BUNTING</x:v>
      </x:c>
      <x:c r="E152" s="34" t="n">
        <x:v>183</x:v>
      </x:c>
      <x:c r="F152" s="55" t="n">
        <x:v>1151.13</x:v>
      </x:c>
      <x:c r="G152" s="58" t="n">
        <x:f>E151</x:f>
        <x:v>209</x:v>
      </x:c>
      <x:c r="H152" s="58" t="n">
        <x:f>AVERAGE(E148:E151)</x:f>
        <x:v>250.25</x:v>
      </x:c>
      <x:c r="I152" s="58" t="n">
        <x:f>AVERAGE(E144:E151)</x:f>
        <x:v>301.375</x:v>
      </x:c>
      <x:c r="J152" s="58" t="n">
        <x:f>IF(G152="","",ABS(E152-G152))</x:f>
        <x:v>26</x:v>
      </x:c>
      <x:c r="K152" s="58" t="n">
        <x:f>IF(H152="","",ABS(E152-H152))</x:f>
        <x:v>67.25</x:v>
      </x:c>
      <x:c r="L152" s="58" t="n">
        <x:f>IF(I152="","",ABS(E152-I152))</x:f>
        <x:v>118.375</x:v>
      </x:c>
      <x:c r="M152" s="23" t="str">
        <x:f>IF(B152&gt;44,"Validation","Training")</x:f>
        <x:v>Training</x:v>
      </x:c>
      <x:c r="N152" s="61" t="n">
        <x:f>IF(OR(H152="",E152=0),"",K152/E152)</x:f>
        <x:v>0.3674863387978142</x:v>
      </x:c>
    </x:row>
    <x:row r="153">
      <x:c r="A153" s="28" t="n">
        <x:v>40826</x:v>
      </x:c>
      <x:c r="B153" s="23" t="n">
        <x:v>45</x:v>
      </x:c>
      <x:c r="C153" s="23" t="str">
        <x:v>47566</x:v>
      </x:c>
      <x:c r="D153" s="23" t="str">
        <x:v>PARTY BUNTING</x:v>
      </x:c>
      <x:c r="E153" s="34" t="n">
        <x:v>106</x:v>
      </x:c>
      <x:c r="F153" s="55" t="n">
        <x:v>694.06</x:v>
      </x:c>
      <x:c r="G153" s="58" t="n">
        <x:f>E152</x:f>
        <x:v>183</x:v>
      </x:c>
      <x:c r="H153" s="58" t="n">
        <x:f>AVERAGE(E149:E152)</x:f>
        <x:v>221</x:v>
      </x:c>
      <x:c r="I153" s="58" t="n">
        <x:f>AVERAGE(E145:E152)</x:f>
        <x:v>283</x:v>
      </x:c>
      <x:c r="J153" s="58" t="n">
        <x:f>IF(G153="","",ABS(E153-G153))</x:f>
        <x:v>77</x:v>
      </x:c>
      <x:c r="K153" s="58" t="n">
        <x:f>IF(H153="","",ABS(E153-H153))</x:f>
        <x:v>115</x:v>
      </x:c>
      <x:c r="L153" s="58" t="n">
        <x:f>IF(I153="","",ABS(E153-I153))</x:f>
        <x:v>177</x:v>
      </x:c>
      <x:c r="M153" s="23" t="str">
        <x:f>IF(B153&gt;44,"Validation","Training")</x:f>
        <x:v>Validation</x:v>
      </x:c>
      <x:c r="N153" s="61" t="n">
        <x:f>IF(OR(H153="",E153=0),"",K153/E153)</x:f>
        <x:v>1.0849056603773586</x:v>
      </x:c>
    </x:row>
    <x:row r="154">
      <x:c r="A154" s="28" t="n">
        <x:v>40833</x:v>
      </x:c>
      <x:c r="B154" s="23" t="n">
        <x:v>46</x:v>
      </x:c>
      <x:c r="C154" s="23" t="str">
        <x:v>47566</x:v>
      </x:c>
      <x:c r="D154" s="23" t="str">
        <x:v>PARTY BUNTING</x:v>
      </x:c>
      <x:c r="E154" s="34" t="n">
        <x:v>211</x:v>
      </x:c>
      <x:c r="F154" s="55" t="n">
        <x:v>1183.85</x:v>
      </x:c>
      <x:c r="G154" s="58" t="n">
        <x:f>E153</x:f>
        <x:v>106</x:v>
      </x:c>
      <x:c r="H154" s="58" t="n">
        <x:f>AVERAGE(E150:E153)</x:f>
        <x:v>164</x:v>
      </x:c>
      <x:c r="I154" s="58" t="n">
        <x:f>AVERAGE(E146:E153)</x:f>
        <x:v>246</x:v>
      </x:c>
      <x:c r="J154" s="58" t="n">
        <x:f>IF(G154="","",ABS(E154-G154))</x:f>
        <x:v>105</x:v>
      </x:c>
      <x:c r="K154" s="58" t="n">
        <x:f>IF(H154="","",ABS(E154-H154))</x:f>
        <x:v>47</x:v>
      </x:c>
      <x:c r="L154" s="58" t="n">
        <x:f>IF(I154="","",ABS(E154-I154))</x:f>
        <x:v>35</x:v>
      </x:c>
      <x:c r="M154" s="23" t="str">
        <x:f>IF(B154&gt;44,"Validation","Training")</x:f>
        <x:v>Validation</x:v>
      </x:c>
      <x:c r="N154" s="61" t="n">
        <x:f>IF(OR(H154="",E154=0),"",K154/E154)</x:f>
        <x:v>0.22274881516587677</x:v>
      </x:c>
    </x:row>
    <x:row r="155">
      <x:c r="A155" s="28" t="n">
        <x:v>40840</x:v>
      </x:c>
      <x:c r="B155" s="23" t="n">
        <x:v>47</x:v>
      </x:c>
      <x:c r="C155" s="23" t="str">
        <x:v>47566</x:v>
      </x:c>
      <x:c r="D155" s="23" t="str">
        <x:v>PARTY BUNTING</x:v>
      </x:c>
      <x:c r="E155" s="34" t="n">
        <x:v>78</x:v>
      </x:c>
      <x:c r="F155" s="55" t="n">
        <x:v>432.82</x:v>
      </x:c>
      <x:c r="G155" s="58" t="n">
        <x:f>E154</x:f>
        <x:v>211</x:v>
      </x:c>
      <x:c r="H155" s="58" t="n">
        <x:f>AVERAGE(E151:E154)</x:f>
        <x:v>177.25</x:v>
      </x:c>
      <x:c r="I155" s="58" t="n">
        <x:f>AVERAGE(E147:E154)</x:f>
        <x:v>213.5</x:v>
      </x:c>
      <x:c r="J155" s="58" t="n">
        <x:f>IF(G155="","",ABS(E155-G155))</x:f>
        <x:v>133</x:v>
      </x:c>
      <x:c r="K155" s="58" t="n">
        <x:f>IF(H155="","",ABS(E155-H155))</x:f>
        <x:v>99.25</x:v>
      </x:c>
      <x:c r="L155" s="58" t="n">
        <x:f>IF(I155="","",ABS(E155-I155))</x:f>
        <x:v>135.5</x:v>
      </x:c>
      <x:c r="M155" s="23" t="str">
        <x:f>IF(B155&gt;44,"Validation","Training")</x:f>
        <x:v>Validation</x:v>
      </x:c>
      <x:c r="N155" s="61" t="n">
        <x:f>IF(OR(H155="",E155=0),"",K155/E155)</x:f>
        <x:v>1.2724358974358974</x:v>
      </x:c>
    </x:row>
    <x:row r="156">
      <x:c r="A156" s="28" t="n">
        <x:v>40847</x:v>
      </x:c>
      <x:c r="B156" s="23" t="n">
        <x:v>48</x:v>
      </x:c>
      <x:c r="C156" s="23" t="str">
        <x:v>47566</x:v>
      </x:c>
      <x:c r="D156" s="23" t="str">
        <x:v>PARTY BUNTING</x:v>
      </x:c>
      <x:c r="E156" s="34" t="n">
        <x:v>102</x:v>
      </x:c>
      <x:c r="F156" s="55" t="n">
        <x:v>635.22</x:v>
      </x:c>
      <x:c r="G156" s="58" t="n">
        <x:f>E155</x:f>
        <x:v>78</x:v>
      </x:c>
      <x:c r="H156" s="58" t="n">
        <x:f>AVERAGE(E152:E155)</x:f>
        <x:v>144.5</x:v>
      </x:c>
      <x:c r="I156" s="58" t="n">
        <x:f>AVERAGE(E148:E155)</x:f>
        <x:v>197.375</x:v>
      </x:c>
      <x:c r="J156" s="58" t="n">
        <x:f>IF(G156="","",ABS(E156-G156))</x:f>
        <x:v>24</x:v>
      </x:c>
      <x:c r="K156" s="58" t="n">
        <x:f>IF(H156="","",ABS(E156-H156))</x:f>
        <x:v>42.5</x:v>
      </x:c>
      <x:c r="L156" s="58" t="n">
        <x:f>IF(I156="","",ABS(E156-I156))</x:f>
        <x:v>95.375</x:v>
      </x:c>
      <x:c r="M156" s="23" t="str">
        <x:f>IF(B156&gt;44,"Validation","Training")</x:f>
        <x:v>Validation</x:v>
      </x:c>
      <x:c r="N156" s="61" t="n">
        <x:f>IF(OR(H156="",E156=0),"",K156/E156)</x:f>
        <x:v>0.4166666666666667</x:v>
      </x:c>
    </x:row>
    <x:row r="157">
      <x:c r="A157" s="28" t="n">
        <x:v>40854</x:v>
      </x:c>
      <x:c r="B157" s="23" t="n">
        <x:v>49</x:v>
      </x:c>
      <x:c r="C157" s="23" t="str">
        <x:v>47566</x:v>
      </x:c>
      <x:c r="D157" s="23" t="str">
        <x:v>PARTY BUNTING</x:v>
      </x:c>
      <x:c r="E157" s="34" t="n">
        <x:v>135</x:v>
      </x:c>
      <x:c r="F157" s="55" t="n">
        <x:v>785.05</x:v>
      </x:c>
      <x:c r="G157" s="58" t="n">
        <x:f>E156</x:f>
        <x:v>102</x:v>
      </x:c>
      <x:c r="H157" s="58" t="n">
        <x:f>AVERAGE(E153:E156)</x:f>
        <x:v>124.25</x:v>
      </x:c>
      <x:c r="I157" s="58" t="n">
        <x:f>AVERAGE(E149:E156)</x:f>
        <x:v>172.625</x:v>
      </x:c>
      <x:c r="J157" s="58" t="n">
        <x:f>IF(G157="","",ABS(E157-G157))</x:f>
        <x:v>33</x:v>
      </x:c>
      <x:c r="K157" s="58" t="n">
        <x:f>IF(H157="","",ABS(E157-H157))</x:f>
        <x:v>10.75</x:v>
      </x:c>
      <x:c r="L157" s="58" t="n">
        <x:f>IF(I157="","",ABS(E157-I157))</x:f>
        <x:v>37.625</x:v>
      </x:c>
      <x:c r="M157" s="23" t="str">
        <x:f>IF(B157&gt;44,"Validation","Training")</x:f>
        <x:v>Validation</x:v>
      </x:c>
      <x:c r="N157" s="61" t="n">
        <x:f>IF(OR(H157="",E157=0),"",K157/E157)</x:f>
        <x:v>0.07962962962962963</x:v>
      </x:c>
    </x:row>
    <x:row r="158">
      <x:c r="A158" s="28" t="n">
        <x:v>40861</x:v>
      </x:c>
      <x:c r="B158" s="23" t="n">
        <x:v>50</x:v>
      </x:c>
      <x:c r="C158" s="23" t="str">
        <x:v>47566</x:v>
      </x:c>
      <x:c r="D158" s="23" t="str">
        <x:v>PARTY BUNTING</x:v>
      </x:c>
      <x:c r="E158" s="34" t="n">
        <x:v>218</x:v>
      </x:c>
      <x:c r="F158" s="55" t="n">
        <x:v>1055.74</x:v>
      </x:c>
      <x:c r="G158" s="58" t="n">
        <x:f>E157</x:f>
        <x:v>135</x:v>
      </x:c>
      <x:c r="H158" s="58" t="n">
        <x:f>AVERAGE(E154:E157)</x:f>
        <x:v>131.5</x:v>
      </x:c>
      <x:c r="I158" s="58" t="n">
        <x:f>AVERAGE(E150:E157)</x:f>
        <x:v>147.75</x:v>
      </x:c>
      <x:c r="J158" s="58" t="n">
        <x:f>IF(G158="","",ABS(E158-G158))</x:f>
        <x:v>83</x:v>
      </x:c>
      <x:c r="K158" s="58" t="n">
        <x:f>IF(H158="","",ABS(E158-H158))</x:f>
        <x:v>86.5</x:v>
      </x:c>
      <x:c r="L158" s="58" t="n">
        <x:f>IF(I158="","",ABS(E158-I158))</x:f>
        <x:v>70.25</x:v>
      </x:c>
      <x:c r="M158" s="23" t="str">
        <x:f>IF(B158&gt;44,"Validation","Training")</x:f>
        <x:v>Validation</x:v>
      </x:c>
      <x:c r="N158" s="61" t="n">
        <x:f>IF(OR(H158="",E158=0),"",K158/E158)</x:f>
        <x:v>0.3967889908256881</x:v>
      </x:c>
    </x:row>
    <x:row r="159">
      <x:c r="A159" s="28" t="n">
        <x:v>40868</x:v>
      </x:c>
      <x:c r="B159" s="23" t="n">
        <x:v>51</x:v>
      </x:c>
      <x:c r="C159" s="23" t="str">
        <x:v>47566</x:v>
      </x:c>
      <x:c r="D159" s="23" t="str">
        <x:v>PARTY BUNTING</x:v>
      </x:c>
      <x:c r="E159" s="34" t="n">
        <x:v>455</x:v>
      </x:c>
      <x:c r="F159" s="55" t="n">
        <x:v>2182.49</x:v>
      </x:c>
      <x:c r="G159" s="58" t="n">
        <x:f>E158</x:f>
        <x:v>218</x:v>
      </x:c>
      <x:c r="H159" s="58" t="n">
        <x:f>AVERAGE(E155:E158)</x:f>
        <x:v>133.25</x:v>
      </x:c>
      <x:c r="I159" s="58" t="n">
        <x:f>AVERAGE(E151:E158)</x:f>
        <x:v>155.25</x:v>
      </x:c>
      <x:c r="J159" s="58" t="n">
        <x:f>IF(G159="","",ABS(E159-G159))</x:f>
        <x:v>237</x:v>
      </x:c>
      <x:c r="K159" s="58" t="n">
        <x:f>IF(H159="","",ABS(E159-H159))</x:f>
        <x:v>321.75</x:v>
      </x:c>
      <x:c r="L159" s="58" t="n">
        <x:f>IF(I159="","",ABS(E159-I159))</x:f>
        <x:v>299.75</x:v>
      </x:c>
      <x:c r="M159" s="23" t="str">
        <x:f>IF(B159&gt;44,"Validation","Training")</x:f>
        <x:v>Validation</x:v>
      </x:c>
      <x:c r="N159" s="61" t="n">
        <x:f>IF(OR(H159="",E159=0),"",K159/E159)</x:f>
        <x:v>0.7071428571428572</x:v>
      </x:c>
    </x:row>
    <x:row r="160">
      <x:c r="A160" s="28" t="n">
        <x:v>40875</x:v>
      </x:c>
      <x:c r="B160" s="23" t="n">
        <x:v>52</x:v>
      </x:c>
      <x:c r="C160" s="23" t="str">
        <x:v>47566</x:v>
      </x:c>
      <x:c r="D160" s="23" t="str">
        <x:v>PARTY BUNTING</x:v>
      </x:c>
      <x:c r="E160" s="34" t="n">
        <x:v>105</x:v>
      </x:c>
      <x:c r="F160" s="55" t="n">
        <x:v>735.83</x:v>
      </x:c>
      <x:c r="G160" s="58" t="n">
        <x:f>E159</x:f>
        <x:v>455</x:v>
      </x:c>
      <x:c r="H160" s="58" t="n">
        <x:f>AVERAGE(E156:E159)</x:f>
        <x:v>227.5</x:v>
      </x:c>
      <x:c r="I160" s="58" t="n">
        <x:f>AVERAGE(E152:E159)</x:f>
        <x:v>186</x:v>
      </x:c>
      <x:c r="J160" s="58" t="n">
        <x:f>IF(G160="","",ABS(E160-G160))</x:f>
        <x:v>350</x:v>
      </x:c>
      <x:c r="K160" s="58" t="n">
        <x:f>IF(H160="","",ABS(E160-H160))</x:f>
        <x:v>122.5</x:v>
      </x:c>
      <x:c r="L160" s="58" t="n">
        <x:f>IF(I160="","",ABS(E160-I160))</x:f>
        <x:v>81</x:v>
      </x:c>
      <x:c r="M160" s="23" t="str">
        <x:f>IF(B160&gt;44,"Validation","Training")</x:f>
        <x:v>Validation</x:v>
      </x:c>
      <x:c r="N160" s="61" t="n">
        <x:f>IF(OR(H160="",E160=0),"",K160/E160)</x:f>
        <x:v>1.1666666666666667</x:v>
      </x:c>
    </x:row>
    <x:row r="161">
      <x:c r="A161" s="28" t="n">
        <x:v>40518</x:v>
      </x:c>
      <x:c r="B161" s="23" t="n">
        <x:v>1</x:v>
      </x:c>
      <x:c r="C161" s="23" t="str">
        <x:v>85099B</x:v>
      </x:c>
      <x:c r="D161" s="23" t="str">
        <x:v>JUMBO BAG RED RETROSPOT</x:v>
      </x:c>
      <x:c r="E161" s="34" t="n">
        <x:v>852</x:v>
      </x:c>
      <x:c r="F161" s="55" t="n">
        <x:v>1576.32</x:v>
      </x:c>
      <x:c r="G161" s="58" t="str">
        <x:f>""</x:f>
      </x:c>
      <x:c r="H161" s="58" t="str">
        <x:f>""</x:f>
      </x:c>
      <x:c r="I161" s="58" t="str">
        <x:f>""</x:f>
      </x:c>
      <x:c r="J161" s="58" t="str">
        <x:f>IF(G161="","",ABS(E161-G161))</x:f>
      </x:c>
      <x:c r="K161" s="58" t="str">
        <x:f>IF(H161="","",ABS(E161-H161))</x:f>
      </x:c>
      <x:c r="L161" s="58" t="str">
        <x:f>IF(I161="","",ABS(E161-I161))</x:f>
      </x:c>
      <x:c r="M161" s="23" t="str">
        <x:f>IF(B161&gt;44,"Validation","Training")</x:f>
        <x:v>Training</x:v>
      </x:c>
      <x:c r="N161" s="61" t="str">
        <x:f>IF(OR(H161="",E161=0),"",K161/E161)</x:f>
      </x:c>
    </x:row>
    <x:row r="162">
      <x:c r="A162" s="28" t="n">
        <x:v>40525</x:v>
      </x:c>
      <x:c r="B162" s="23" t="n">
        <x:v>2</x:v>
      </x:c>
      <x:c r="C162" s="23" t="str">
        <x:v>85099B</x:v>
      </x:c>
      <x:c r="D162" s="23" t="str">
        <x:v>JUMBO BAG RED RETROSPOT</x:v>
      </x:c>
      <x:c r="E162" s="34" t="n">
        <x:v>427</x:v>
      </x:c>
      <x:c r="F162" s="55" t="n">
        <x:v>863.67</x:v>
      </x:c>
      <x:c r="G162" s="58" t="n">
        <x:f>E161</x:f>
        <x:v>852</x:v>
      </x:c>
      <x:c r="H162" s="58" t="str">
        <x:f>""</x:f>
      </x:c>
      <x:c r="I162" s="58" t="str">
        <x:f>""</x:f>
      </x:c>
      <x:c r="J162" s="58" t="n">
        <x:f>IF(G162="","",ABS(E162-G162))</x:f>
        <x:v>425</x:v>
      </x:c>
      <x:c r="K162" s="58" t="str">
        <x:f>IF(H162="","",ABS(E162-H162))</x:f>
      </x:c>
      <x:c r="L162" s="58" t="str">
        <x:f>IF(I162="","",ABS(E162-I162))</x:f>
      </x:c>
      <x:c r="M162" s="23" t="str">
        <x:f>IF(B162&gt;44,"Validation","Training")</x:f>
        <x:v>Training</x:v>
      </x:c>
      <x:c r="N162" s="61" t="str">
        <x:f>IF(OR(H162="",E162=0),"",K162/E162)</x:f>
      </x:c>
    </x:row>
    <x:row r="163">
      <x:c r="A163" s="28" t="n">
        <x:v>40532</x:v>
      </x:c>
      <x:c r="B163" s="23" t="n">
        <x:v>3</x:v>
      </x:c>
      <x:c r="C163" s="23" t="str">
        <x:v>85099B</x:v>
      </x:c>
      <x:c r="D163" s="23" t="str">
        <x:v>JUMBO BAG RED RETROSPOT</x:v>
      </x:c>
      <x:c r="E163" s="34" t="n">
        <x:v>180</x:v>
      </x:c>
      <x:c r="F163" s="55" t="n">
        <x:v>361.68</x:v>
      </x:c>
      <x:c r="G163" s="58" t="n">
        <x:f>E162</x:f>
        <x:v>427</x:v>
      </x:c>
      <x:c r="H163" s="58" t="str">
        <x:f>""</x:f>
      </x:c>
      <x:c r="I163" s="58" t="str">
        <x:f>""</x:f>
      </x:c>
      <x:c r="J163" s="58" t="n">
        <x:f>IF(G163="","",ABS(E163-G163))</x:f>
        <x:v>247</x:v>
      </x:c>
      <x:c r="K163" s="58" t="str">
        <x:f>IF(H163="","",ABS(E163-H163))</x:f>
      </x:c>
      <x:c r="L163" s="58" t="str">
        <x:f>IF(I163="","",ABS(E163-I163))</x:f>
      </x:c>
      <x:c r="M163" s="23" t="str">
        <x:f>IF(B163&gt;44,"Validation","Training")</x:f>
        <x:v>Training</x:v>
      </x:c>
      <x:c r="N163" s="61" t="str">
        <x:f>IF(OR(H163="",E163=0),"",K163/E163)</x:f>
      </x:c>
    </x:row>
    <x:row r="164">
      <x:c r="A164" s="28" t="n">
        <x:v>40539</x:v>
      </x:c>
      <x:c r="B164" s="23" t="n">
        <x:v>4</x:v>
      </x:c>
      <x:c r="C164" s="23" t="str">
        <x:v>85099B</x:v>
      </x:c>
      <x:c r="D164" s="23" t="str">
        <x:v>JUMBO BAG RED RETROSPOT</x:v>
      </x:c>
      <x:c r="E164" s="34" t="n">
        <x:v>0</x:v>
      </x:c>
      <x:c r="F164" s="55" t="n">
        <x:v>0</x:v>
      </x:c>
      <x:c r="G164" s="58" t="n">
        <x:f>E163</x:f>
        <x:v>180</x:v>
      </x:c>
      <x:c r="H164" s="58" t="str">
        <x:f>""</x:f>
      </x:c>
      <x:c r="I164" s="58" t="str">
        <x:f>""</x:f>
      </x:c>
      <x:c r="J164" s="58" t="n">
        <x:f>IF(G164="","",ABS(E164-G164))</x:f>
        <x:v>180</x:v>
      </x:c>
      <x:c r="K164" s="58" t="str">
        <x:f>IF(H164="","",ABS(E164-H164))</x:f>
      </x:c>
      <x:c r="L164" s="58" t="str">
        <x:f>IF(I164="","",ABS(E164-I164))</x:f>
      </x:c>
      <x:c r="M164" s="23" t="str">
        <x:f>IF(B164&gt;44,"Validation","Training")</x:f>
        <x:v>Training</x:v>
      </x:c>
      <x:c r="N164" s="61" t="str">
        <x:f>IF(OR(H164="",E164=0),"",K164/E164)</x:f>
      </x:c>
    </x:row>
    <x:row r="165">
      <x:c r="A165" s="28" t="n">
        <x:v>40546</x:v>
      </x:c>
      <x:c r="B165" s="23" t="n">
        <x:v>5</x:v>
      </x:c>
      <x:c r="C165" s="23" t="str">
        <x:v>85099B</x:v>
      </x:c>
      <x:c r="D165" s="23" t="str">
        <x:v>JUMBO BAG RED RETROSPOT</x:v>
      </x:c>
      <x:c r="E165" s="34" t="n">
        <x:v>1374</x:v>
      </x:c>
      <x:c r="F165" s="55" t="n">
        <x:v>2328.34</x:v>
      </x:c>
      <x:c r="G165" s="58" t="n">
        <x:f>E164</x:f>
        <x:v>0</x:v>
      </x:c>
      <x:c r="H165" s="58" t="n">
        <x:f>AVERAGE(E161:E164)</x:f>
        <x:v>364.75</x:v>
      </x:c>
      <x:c r="I165" s="58" t="str">
        <x:f>""</x:f>
      </x:c>
      <x:c r="J165" s="58" t="str">
        <x:f>IF(G165="","",ABS(E165-G165))</x:f>
      </x:c>
      <x:c r="K165" s="58" t="n">
        <x:f>IF(H165="","",ABS(E165-H165))</x:f>
        <x:v>1009.25</x:v>
      </x:c>
      <x:c r="L165" s="58" t="str">
        <x:f>IF(I165="","",ABS(E165-I165))</x:f>
      </x:c>
      <x:c r="M165" s="23" t="str">
        <x:f>IF(B165&gt;44,"Validation","Training")</x:f>
        <x:v>Training</x:v>
      </x:c>
      <x:c r="N165" s="61" t="n">
        <x:f>IF(OR(H165="",E165=0),"",K165/E165)</x:f>
        <x:v>0.7345342066957787</x:v>
      </x:c>
    </x:row>
    <x:row r="166">
      <x:c r="A166" s="28" t="n">
        <x:v>40553</x:v>
      </x:c>
      <x:c r="B166" s="23" t="n">
        <x:v>6</x:v>
      </x:c>
      <x:c r="C166" s="23" t="str">
        <x:v>85099B</x:v>
      </x:c>
      <x:c r="D166" s="23" t="str">
        <x:v>JUMBO BAG RED RETROSPOT</x:v>
      </x:c>
      <x:c r="E166" s="34" t="n">
        <x:v>225</x:v>
      </x:c>
      <x:c r="F166" s="55" t="n">
        <x:v>544.11</x:v>
      </x:c>
      <x:c r="G166" s="58" t="n">
        <x:f>E165</x:f>
        <x:v>1374</x:v>
      </x:c>
      <x:c r="H166" s="58" t="n">
        <x:f>AVERAGE(E162:E165)</x:f>
        <x:v>495.25</x:v>
      </x:c>
      <x:c r="I166" s="58" t="str">
        <x:f>""</x:f>
      </x:c>
      <x:c r="J166" s="58" t="n">
        <x:f>IF(G166="","",ABS(E166-G166))</x:f>
        <x:v>1149</x:v>
      </x:c>
      <x:c r="K166" s="58" t="n">
        <x:f>IF(H166="","",ABS(E166-H166))</x:f>
        <x:v>270.25</x:v>
      </x:c>
      <x:c r="L166" s="58" t="str">
        <x:f>IF(I166="","",ABS(E166-I166))</x:f>
      </x:c>
      <x:c r="M166" s="23" t="str">
        <x:f>IF(B166&gt;44,"Validation","Training")</x:f>
        <x:v>Training</x:v>
      </x:c>
      <x:c r="N166" s="61" t="n">
        <x:f>IF(OR(H166="",E166=0),"",K166/E166)</x:f>
        <x:v>1.201111111111111</x:v>
      </x:c>
    </x:row>
    <x:row r="167">
      <x:c r="A167" s="28" t="n">
        <x:v>40560</x:v>
      </x:c>
      <x:c r="B167" s="23" t="n">
        <x:v>7</x:v>
      </x:c>
      <x:c r="C167" s="23" t="str">
        <x:v>85099B</x:v>
      </x:c>
      <x:c r="D167" s="23" t="str">
        <x:v>JUMBO BAG RED RETROSPOT</x:v>
      </x:c>
      <x:c r="E167" s="34" t="n">
        <x:v>594</x:v>
      </x:c>
      <x:c r="F167" s="55" t="n">
        <x:v>1145.12</x:v>
      </x:c>
      <x:c r="G167" s="58" t="n">
        <x:f>E166</x:f>
        <x:v>225</x:v>
      </x:c>
      <x:c r="H167" s="58" t="n">
        <x:f>AVERAGE(E163:E166)</x:f>
        <x:v>444.75</x:v>
      </x:c>
      <x:c r="I167" s="58" t="str">
        <x:f>""</x:f>
      </x:c>
      <x:c r="J167" s="58" t="n">
        <x:f>IF(G167="","",ABS(E167-G167))</x:f>
        <x:v>369</x:v>
      </x:c>
      <x:c r="K167" s="58" t="n">
        <x:f>IF(H167="","",ABS(E167-H167))</x:f>
        <x:v>149.25</x:v>
      </x:c>
      <x:c r="L167" s="58" t="str">
        <x:f>IF(I167="","",ABS(E167-I167))</x:f>
      </x:c>
      <x:c r="M167" s="23" t="str">
        <x:f>IF(B167&gt;44,"Validation","Training")</x:f>
        <x:v>Training</x:v>
      </x:c>
      <x:c r="N167" s="61" t="n">
        <x:f>IF(OR(H167="",E167=0),"",K167/E167)</x:f>
        <x:v>0.25126262626262624</x:v>
      </x:c>
    </x:row>
    <x:row r="168">
      <x:c r="A168" s="28" t="n">
        <x:v>40567</x:v>
      </x:c>
      <x:c r="B168" s="23" t="n">
        <x:v>8</x:v>
      </x:c>
      <x:c r="C168" s="23" t="str">
        <x:v>85099B</x:v>
      </x:c>
      <x:c r="D168" s="23" t="str">
        <x:v>JUMBO BAG RED RETROSPOT</x:v>
      </x:c>
      <x:c r="E168" s="34" t="n">
        <x:v>502</x:v>
      </x:c>
      <x:c r="F168" s="55" t="n">
        <x:v>904.7</x:v>
      </x:c>
      <x:c r="G168" s="58" t="n">
        <x:f>E167</x:f>
        <x:v>594</x:v>
      </x:c>
      <x:c r="H168" s="58" t="n">
        <x:f>AVERAGE(E164:E167)</x:f>
        <x:v>548.25</x:v>
      </x:c>
      <x:c r="I168" s="58" t="str">
        <x:f>""</x:f>
      </x:c>
      <x:c r="J168" s="58" t="n">
        <x:f>IF(G168="","",ABS(E168-G168))</x:f>
        <x:v>92</x:v>
      </x:c>
      <x:c r="K168" s="58" t="n">
        <x:f>IF(H168="","",ABS(E168-H168))</x:f>
        <x:v>46.25</x:v>
      </x:c>
      <x:c r="L168" s="58" t="str">
        <x:f>IF(I168="","",ABS(E168-I168))</x:f>
      </x:c>
      <x:c r="M168" s="23" t="str">
        <x:f>IF(B168&gt;44,"Validation","Training")</x:f>
        <x:v>Training</x:v>
      </x:c>
      <x:c r="N168" s="61" t="n">
        <x:f>IF(OR(H168="",E168=0),"",K168/E168)</x:f>
        <x:v>0.09213147410358566</x:v>
      </x:c>
    </x:row>
    <x:row r="169">
      <x:c r="A169" s="28" t="n">
        <x:v>40574</x:v>
      </x:c>
      <x:c r="B169" s="23" t="n">
        <x:v>9</x:v>
      </x:c>
      <x:c r="C169" s="23" t="str">
        <x:v>85099B</x:v>
      </x:c>
      <x:c r="D169" s="23" t="str">
        <x:v>JUMBO BAG RED RETROSPOT</x:v>
      </x:c>
      <x:c r="E169" s="34" t="n">
        <x:v>965</x:v>
      </x:c>
      <x:c r="F169" s="55" t="n">
        <x:v>1786.35</x:v>
      </x:c>
      <x:c r="G169" s="58" t="n">
        <x:f>E168</x:f>
        <x:v>502</x:v>
      </x:c>
      <x:c r="H169" s="58" t="n">
        <x:f>AVERAGE(E165:E168)</x:f>
        <x:v>673.75</x:v>
      </x:c>
      <x:c r="I169" s="58" t="n">
        <x:f>AVERAGE(E161:E168)</x:f>
        <x:v>519.25</x:v>
      </x:c>
      <x:c r="J169" s="58" t="n">
        <x:f>IF(G169="","",ABS(E169-G169))</x:f>
        <x:v>463</x:v>
      </x:c>
      <x:c r="K169" s="58" t="n">
        <x:f>IF(H169="","",ABS(E169-H169))</x:f>
        <x:v>291.25</x:v>
      </x:c>
      <x:c r="L169" s="58" t="n">
        <x:f>IF(I169="","",ABS(E169-I169))</x:f>
        <x:v>445.75</x:v>
      </x:c>
      <x:c r="M169" s="23" t="str">
        <x:f>IF(B169&gt;44,"Validation","Training")</x:f>
        <x:v>Training</x:v>
      </x:c>
      <x:c r="N169" s="61" t="n">
        <x:f>IF(OR(H169="",E169=0),"",K169/E169)</x:f>
        <x:v>0.3018134715025907</x:v>
      </x:c>
    </x:row>
    <x:row r="170">
      <x:c r="A170" s="28" t="n">
        <x:v>40581</x:v>
      </x:c>
      <x:c r="B170" s="23" t="n">
        <x:v>10</x:v>
      </x:c>
      <x:c r="C170" s="23" t="str">
        <x:v>85099B</x:v>
      </x:c>
      <x:c r="D170" s="23" t="str">
        <x:v>JUMBO BAG RED RETROSPOT</x:v>
      </x:c>
      <x:c r="E170" s="34" t="n">
        <x:v>288</x:v>
      </x:c>
      <x:c r="F170" s="55" t="n">
        <x:v>568.66</x:v>
      </x:c>
      <x:c r="G170" s="58" t="n">
        <x:f>E169</x:f>
        <x:v>965</x:v>
      </x:c>
      <x:c r="H170" s="58" t="n">
        <x:f>AVERAGE(E166:E169)</x:f>
        <x:v>571.5</x:v>
      </x:c>
      <x:c r="I170" s="58" t="n">
        <x:f>AVERAGE(E162:E169)</x:f>
        <x:v>533.375</x:v>
      </x:c>
      <x:c r="J170" s="58" t="n">
        <x:f>IF(G170="","",ABS(E170-G170))</x:f>
        <x:v>677</x:v>
      </x:c>
      <x:c r="K170" s="58" t="n">
        <x:f>IF(H170="","",ABS(E170-H170))</x:f>
        <x:v>283.5</x:v>
      </x:c>
      <x:c r="L170" s="58" t="n">
        <x:f>IF(I170="","",ABS(E170-I170))</x:f>
        <x:v>245.375</x:v>
      </x:c>
      <x:c r="M170" s="23" t="str">
        <x:f>IF(B170&gt;44,"Validation","Training")</x:f>
        <x:v>Training</x:v>
      </x:c>
      <x:c r="N170" s="61" t="n">
        <x:f>IF(OR(H170="",E170=0),"",K170/E170)</x:f>
        <x:v>0.984375</x:v>
      </x:c>
    </x:row>
    <x:row r="171">
      <x:c r="A171" s="28" t="n">
        <x:v>40588</x:v>
      </x:c>
      <x:c r="B171" s="23" t="n">
        <x:v>11</x:v>
      </x:c>
      <x:c r="C171" s="23" t="str">
        <x:v>85099B</x:v>
      </x:c>
      <x:c r="D171" s="23" t="str">
        <x:v>JUMBO BAG RED RETROSPOT</x:v>
      </x:c>
      <x:c r="E171" s="34" t="n">
        <x:v>985</x:v>
      </x:c>
      <x:c r="F171" s="55" t="n">
        <x:v>1732.75</x:v>
      </x:c>
      <x:c r="G171" s="58" t="n">
        <x:f>E170</x:f>
        <x:v>288</x:v>
      </x:c>
      <x:c r="H171" s="58" t="n">
        <x:f>AVERAGE(E167:E170)</x:f>
        <x:v>587.25</x:v>
      </x:c>
      <x:c r="I171" s="58" t="n">
        <x:f>AVERAGE(E163:E170)</x:f>
        <x:v>516</x:v>
      </x:c>
      <x:c r="J171" s="58" t="n">
        <x:f>IF(G171="","",ABS(E171-G171))</x:f>
        <x:v>697</x:v>
      </x:c>
      <x:c r="K171" s="58" t="n">
        <x:f>IF(H171="","",ABS(E171-H171))</x:f>
        <x:v>397.75</x:v>
      </x:c>
      <x:c r="L171" s="58" t="n">
        <x:f>IF(I171="","",ABS(E171-I171))</x:f>
        <x:v>469</x:v>
      </x:c>
      <x:c r="M171" s="23" t="str">
        <x:f>IF(B171&gt;44,"Validation","Training")</x:f>
        <x:v>Training</x:v>
      </x:c>
      <x:c r="N171" s="61" t="n">
        <x:f>IF(OR(H171="",E171=0),"",K171/E171)</x:f>
        <x:v>0.4038071065989848</x:v>
      </x:c>
    </x:row>
    <x:row r="172">
      <x:c r="A172" s="28" t="n">
        <x:v>40595</x:v>
      </x:c>
      <x:c r="B172" s="23" t="n">
        <x:v>12</x:v>
      </x:c>
      <x:c r="C172" s="23" t="str">
        <x:v>85099B</x:v>
      </x:c>
      <x:c r="D172" s="23" t="str">
        <x:v>JUMBO BAG RED RETROSPOT</x:v>
      </x:c>
      <x:c r="E172" s="34" t="n">
        <x:v>810</x:v>
      </x:c>
      <x:c r="F172" s="55" t="n">
        <x:v>1482.34</x:v>
      </x:c>
      <x:c r="G172" s="58" t="n">
        <x:f>E171</x:f>
        <x:v>985</x:v>
      </x:c>
      <x:c r="H172" s="58" t="n">
        <x:f>AVERAGE(E168:E171)</x:f>
        <x:v>685</x:v>
      </x:c>
      <x:c r="I172" s="58" t="n">
        <x:f>AVERAGE(E164:E171)</x:f>
        <x:v>616.625</x:v>
      </x:c>
      <x:c r="J172" s="58" t="n">
        <x:f>IF(G172="","",ABS(E172-G172))</x:f>
        <x:v>175</x:v>
      </x:c>
      <x:c r="K172" s="58" t="n">
        <x:f>IF(H172="","",ABS(E172-H172))</x:f>
        <x:v>125</x:v>
      </x:c>
      <x:c r="L172" s="58" t="n">
        <x:f>IF(I172="","",ABS(E172-I172))</x:f>
        <x:v>193.375</x:v>
      </x:c>
      <x:c r="M172" s="23" t="str">
        <x:f>IF(B172&gt;44,"Validation","Training")</x:f>
        <x:v>Training</x:v>
      </x:c>
      <x:c r="N172" s="61" t="n">
        <x:f>IF(OR(H172="",E172=0),"",K172/E172)</x:f>
        <x:v>0.15432098765432098</x:v>
      </x:c>
    </x:row>
    <x:row r="173">
      <x:c r="A173" s="28" t="n">
        <x:v>40602</x:v>
      </x:c>
      <x:c r="B173" s="23" t="n">
        <x:v>13</x:v>
      </x:c>
      <x:c r="C173" s="23" t="str">
        <x:v>85099B</x:v>
      </x:c>
      <x:c r="D173" s="23" t="str">
        <x:v>JUMBO BAG RED RETROSPOT</x:v>
      </x:c>
      <x:c r="E173" s="34" t="n">
        <x:v>624</x:v>
      </x:c>
      <x:c r="F173" s="55" t="n">
        <x:v>1152.96</x:v>
      </x:c>
      <x:c r="G173" s="58" t="n">
        <x:f>E172</x:f>
        <x:v>810</x:v>
      </x:c>
      <x:c r="H173" s="58" t="n">
        <x:f>AVERAGE(E169:E172)</x:f>
        <x:v>762</x:v>
      </x:c>
      <x:c r="I173" s="58" t="n">
        <x:f>AVERAGE(E165:E172)</x:f>
        <x:v>717.875</x:v>
      </x:c>
      <x:c r="J173" s="58" t="n">
        <x:f>IF(G173="","",ABS(E173-G173))</x:f>
        <x:v>186</x:v>
      </x:c>
      <x:c r="K173" s="58" t="n">
        <x:f>IF(H173="","",ABS(E173-H173))</x:f>
        <x:v>138</x:v>
      </x:c>
      <x:c r="L173" s="58" t="n">
        <x:f>IF(I173="","",ABS(E173-I173))</x:f>
        <x:v>93.875</x:v>
      </x:c>
      <x:c r="M173" s="23" t="str">
        <x:f>IF(B173&gt;44,"Validation","Training")</x:f>
        <x:v>Training</x:v>
      </x:c>
      <x:c r="N173" s="61" t="n">
        <x:f>IF(OR(H173="",E173=0),"",K173/E173)</x:f>
        <x:v>0.22115384615384615</x:v>
      </x:c>
    </x:row>
    <x:row r="174">
      <x:c r="A174" s="28" t="n">
        <x:v>40609</x:v>
      </x:c>
      <x:c r="B174" s="23" t="n">
        <x:v>14</x:v>
      </x:c>
      <x:c r="C174" s="23" t="str">
        <x:v>85099B</x:v>
      </x:c>
      <x:c r="D174" s="23" t="str">
        <x:v>JUMBO BAG RED RETROSPOT</x:v>
      </x:c>
      <x:c r="E174" s="34" t="n">
        <x:v>738</x:v>
      </x:c>
      <x:c r="F174" s="55" t="n">
        <x:v>1356.16</x:v>
      </x:c>
      <x:c r="G174" s="58" t="n">
        <x:f>E173</x:f>
        <x:v>624</x:v>
      </x:c>
      <x:c r="H174" s="58" t="n">
        <x:f>AVERAGE(E170:E173)</x:f>
        <x:v>676.75</x:v>
      </x:c>
      <x:c r="I174" s="58" t="n">
        <x:f>AVERAGE(E166:E173)</x:f>
        <x:v>624.125</x:v>
      </x:c>
      <x:c r="J174" s="58" t="n">
        <x:f>IF(G174="","",ABS(E174-G174))</x:f>
        <x:v>114</x:v>
      </x:c>
      <x:c r="K174" s="58" t="n">
        <x:f>IF(H174="","",ABS(E174-H174))</x:f>
        <x:v>61.25</x:v>
      </x:c>
      <x:c r="L174" s="58" t="n">
        <x:f>IF(I174="","",ABS(E174-I174))</x:f>
        <x:v>113.875</x:v>
      </x:c>
      <x:c r="M174" s="23" t="str">
        <x:f>IF(B174&gt;44,"Validation","Training")</x:f>
        <x:v>Training</x:v>
      </x:c>
      <x:c r="N174" s="61" t="n">
        <x:f>IF(OR(H174="",E174=0),"",K174/E174)</x:f>
        <x:v>0.08299457994579945</x:v>
      </x:c>
    </x:row>
    <x:row r="175">
      <x:c r="A175" s="28" t="n">
        <x:v>40616</x:v>
      </x:c>
      <x:c r="B175" s="23" t="n">
        <x:v>15</x:v>
      </x:c>
      <x:c r="C175" s="23" t="str">
        <x:v>85099B</x:v>
      </x:c>
      <x:c r="D175" s="23" t="str">
        <x:v>JUMBO BAG RED RETROSPOT</x:v>
      </x:c>
      <x:c r="E175" s="34" t="n">
        <x:v>1546</x:v>
      </x:c>
      <x:c r="F175" s="55" t="n">
        <x:v>2718.16</x:v>
      </x:c>
      <x:c r="G175" s="58" t="n">
        <x:f>E174</x:f>
        <x:v>738</x:v>
      </x:c>
      <x:c r="H175" s="58" t="n">
        <x:f>AVERAGE(E171:E174)</x:f>
        <x:v>789.25</x:v>
      </x:c>
      <x:c r="I175" s="58" t="n">
        <x:f>AVERAGE(E167:E174)</x:f>
        <x:v>688.25</x:v>
      </x:c>
      <x:c r="J175" s="58" t="n">
        <x:f>IF(G175="","",ABS(E175-G175))</x:f>
        <x:v>808</x:v>
      </x:c>
      <x:c r="K175" s="58" t="n">
        <x:f>IF(H175="","",ABS(E175-H175))</x:f>
        <x:v>756.75</x:v>
      </x:c>
      <x:c r="L175" s="58" t="n">
        <x:f>IF(I175="","",ABS(E175-I175))</x:f>
        <x:v>857.75</x:v>
      </x:c>
      <x:c r="M175" s="23" t="str">
        <x:f>IF(B175&gt;44,"Validation","Training")</x:f>
        <x:v>Training</x:v>
      </x:c>
      <x:c r="N175" s="61" t="n">
        <x:f>IF(OR(H175="",E175=0),"",K175/E175)</x:f>
        <x:v>0.4894890038809832</x:v>
      </x:c>
    </x:row>
    <x:row r="176">
      <x:c r="A176" s="28" t="n">
        <x:v>40623</x:v>
      </x:c>
      <x:c r="B176" s="23" t="n">
        <x:v>16</x:v>
      </x:c>
      <x:c r="C176" s="23" t="str">
        <x:v>85099B</x:v>
      </x:c>
      <x:c r="D176" s="23" t="str">
        <x:v>JUMBO BAG RED RETROSPOT</x:v>
      </x:c>
      <x:c r="E176" s="34" t="n">
        <x:v>1379</x:v>
      </x:c>
      <x:c r="F176" s="55" t="n">
        <x:v>2443.55</x:v>
      </x:c>
      <x:c r="G176" s="58" t="n">
        <x:f>E175</x:f>
        <x:v>1546</x:v>
      </x:c>
      <x:c r="H176" s="58" t="n">
        <x:f>AVERAGE(E172:E175)</x:f>
        <x:v>929.5</x:v>
      </x:c>
      <x:c r="I176" s="58" t="n">
        <x:f>AVERAGE(E168:E175)</x:f>
        <x:v>807.25</x:v>
      </x:c>
      <x:c r="J176" s="58" t="n">
        <x:f>IF(G176="","",ABS(E176-G176))</x:f>
        <x:v>167</x:v>
      </x:c>
      <x:c r="K176" s="58" t="n">
        <x:f>IF(H176="","",ABS(E176-H176))</x:f>
        <x:v>449.5</x:v>
      </x:c>
      <x:c r="L176" s="58" t="n">
        <x:f>IF(I176="","",ABS(E176-I176))</x:f>
        <x:v>571.75</x:v>
      </x:c>
      <x:c r="M176" s="23" t="str">
        <x:f>IF(B176&gt;44,"Validation","Training")</x:f>
        <x:v>Training</x:v>
      </x:c>
      <x:c r="N176" s="61" t="n">
        <x:f>IF(OR(H176="",E176=0),"",K176/E176)</x:f>
        <x:v>0.3259608411892676</x:v>
      </x:c>
    </x:row>
    <x:row r="177">
      <x:c r="A177" s="28" t="n">
        <x:v>40630</x:v>
      </x:c>
      <x:c r="B177" s="23" t="n">
        <x:v>17</x:v>
      </x:c>
      <x:c r="C177" s="23" t="str">
        <x:v>85099B</x:v>
      </x:c>
      <x:c r="D177" s="23" t="str">
        <x:v>JUMBO BAG RED RETROSPOT</x:v>
      </x:c>
      <x:c r="E177" s="34" t="n">
        <x:v>1103</x:v>
      </x:c>
      <x:c r="F177" s="55" t="n">
        <x:v>2672.85</x:v>
      </x:c>
      <x:c r="G177" s="58" t="n">
        <x:f>E176</x:f>
        <x:v>1379</x:v>
      </x:c>
      <x:c r="H177" s="58" t="n">
        <x:f>AVERAGE(E173:E176)</x:f>
        <x:v>1071.75</x:v>
      </x:c>
      <x:c r="I177" s="58" t="n">
        <x:f>AVERAGE(E169:E176)</x:f>
        <x:v>916.875</x:v>
      </x:c>
      <x:c r="J177" s="58" t="n">
        <x:f>IF(G177="","",ABS(E177-G177))</x:f>
        <x:v>276</x:v>
      </x:c>
      <x:c r="K177" s="58" t="n">
        <x:f>IF(H177="","",ABS(E177-H177))</x:f>
        <x:v>31.25</x:v>
      </x:c>
      <x:c r="L177" s="58" t="n">
        <x:f>IF(I177="","",ABS(E177-I177))</x:f>
        <x:v>186.125</x:v>
      </x:c>
      <x:c r="M177" s="23" t="str">
        <x:f>IF(B177&gt;44,"Validation","Training")</x:f>
        <x:v>Training</x:v>
      </x:c>
      <x:c r="N177" s="61" t="n">
        <x:f>IF(OR(H177="",E177=0),"",K177/E177)</x:f>
        <x:v>0.028331822302810516</x:v>
      </x:c>
    </x:row>
    <x:row r="178">
      <x:c r="A178" s="28" t="n">
        <x:v>40637</x:v>
      </x:c>
      <x:c r="B178" s="23" t="n">
        <x:v>18</x:v>
      </x:c>
      <x:c r="C178" s="23" t="str">
        <x:v>85099B</x:v>
      </x:c>
      <x:c r="D178" s="23" t="str">
        <x:v>JUMBO BAG RED RETROSPOT</x:v>
      </x:c>
      <x:c r="E178" s="34" t="n">
        <x:v>975</x:v>
      </x:c>
      <x:c r="F178" s="55" t="n">
        <x:v>1876.66</x:v>
      </x:c>
      <x:c r="G178" s="58" t="n">
        <x:f>E177</x:f>
        <x:v>1103</x:v>
      </x:c>
      <x:c r="H178" s="58" t="n">
        <x:f>AVERAGE(E174:E177)</x:f>
        <x:v>1191.5</x:v>
      </x:c>
      <x:c r="I178" s="58" t="n">
        <x:f>AVERAGE(E170:E177)</x:f>
        <x:v>934.125</x:v>
      </x:c>
      <x:c r="J178" s="58" t="n">
        <x:f>IF(G178="","",ABS(E178-G178))</x:f>
        <x:v>128</x:v>
      </x:c>
      <x:c r="K178" s="58" t="n">
        <x:f>IF(H178="","",ABS(E178-H178))</x:f>
        <x:v>216.5</x:v>
      </x:c>
      <x:c r="L178" s="58" t="n">
        <x:f>IF(I178="","",ABS(E178-I178))</x:f>
        <x:v>40.875</x:v>
      </x:c>
      <x:c r="M178" s="23" t="str">
        <x:f>IF(B178&gt;44,"Validation","Training")</x:f>
        <x:v>Training</x:v>
      </x:c>
      <x:c r="N178" s="61" t="n">
        <x:f>IF(OR(H178="",E178=0),"",K178/E178)</x:f>
        <x:v>0.22205128205128205</x:v>
      </x:c>
    </x:row>
    <x:row r="179">
      <x:c r="A179" s="28" t="n">
        <x:v>40644</x:v>
      </x:c>
      <x:c r="B179" s="23" t="n">
        <x:v>19</x:v>
      </x:c>
      <x:c r="C179" s="23" t="str">
        <x:v>85099B</x:v>
      </x:c>
      <x:c r="D179" s="23" t="str">
        <x:v>JUMBO BAG RED RETROSPOT</x:v>
      </x:c>
      <x:c r="E179" s="34" t="n">
        <x:v>616</x:v>
      </x:c>
      <x:c r="F179" s="55" t="n">
        <x:v>1196.78</x:v>
      </x:c>
      <x:c r="G179" s="58" t="n">
        <x:f>E178</x:f>
        <x:v>975</x:v>
      </x:c>
      <x:c r="H179" s="58" t="n">
        <x:f>AVERAGE(E175:E178)</x:f>
        <x:v>1250.75</x:v>
      </x:c>
      <x:c r="I179" s="58" t="n">
        <x:f>AVERAGE(E171:E178)</x:f>
        <x:v>1020</x:v>
      </x:c>
      <x:c r="J179" s="58" t="n">
        <x:f>IF(G179="","",ABS(E179-G179))</x:f>
        <x:v>359</x:v>
      </x:c>
      <x:c r="K179" s="58" t="n">
        <x:f>IF(H179="","",ABS(E179-H179))</x:f>
        <x:v>634.75</x:v>
      </x:c>
      <x:c r="L179" s="58" t="n">
        <x:f>IF(I179="","",ABS(E179-I179))</x:f>
        <x:v>404</x:v>
      </x:c>
      <x:c r="M179" s="23" t="str">
        <x:f>IF(B179&gt;44,"Validation","Training")</x:f>
        <x:v>Training</x:v>
      </x:c>
      <x:c r="N179" s="61" t="n">
        <x:f>IF(OR(H179="",E179=0),"",K179/E179)</x:f>
        <x:v>1.0304383116883118</x:v>
      </x:c>
    </x:row>
    <x:row r="180">
      <x:c r="A180" s="28" t="n">
        <x:v>40651</x:v>
      </x:c>
      <x:c r="B180" s="23" t="n">
        <x:v>20</x:v>
      </x:c>
      <x:c r="C180" s="23" t="str">
        <x:v>85099B</x:v>
      </x:c>
      <x:c r="D180" s="23" t="str">
        <x:v>JUMBO BAG RED RETROSPOT</x:v>
      </x:c>
      <x:c r="E180" s="34" t="n">
        <x:v>549</x:v>
      </x:c>
      <x:c r="F180" s="55" t="n">
        <x:v>1131.81</x:v>
      </x:c>
      <x:c r="G180" s="58" t="n">
        <x:f>E179</x:f>
        <x:v>616</x:v>
      </x:c>
      <x:c r="H180" s="58" t="n">
        <x:f>AVERAGE(E176:E179)</x:f>
        <x:v>1018.25</x:v>
      </x:c>
      <x:c r="I180" s="58" t="n">
        <x:f>AVERAGE(E172:E179)</x:f>
        <x:v>973.875</x:v>
      </x:c>
      <x:c r="J180" s="58" t="n">
        <x:f>IF(G180="","",ABS(E180-G180))</x:f>
        <x:v>67</x:v>
      </x:c>
      <x:c r="K180" s="58" t="n">
        <x:f>IF(H180="","",ABS(E180-H180))</x:f>
        <x:v>469.25</x:v>
      </x:c>
      <x:c r="L180" s="58" t="n">
        <x:f>IF(I180="","",ABS(E180-I180))</x:f>
        <x:v>424.875</x:v>
      </x:c>
      <x:c r="M180" s="23" t="str">
        <x:f>IF(B180&gt;44,"Validation","Training")</x:f>
        <x:v>Training</x:v>
      </x:c>
      <x:c r="N180" s="61" t="n">
        <x:f>IF(OR(H180="",E180=0),"",K180/E180)</x:f>
        <x:v>0.854735883424408</x:v>
      </x:c>
    </x:row>
    <x:row r="181">
      <x:c r="A181" s="28" t="n">
        <x:v>40658</x:v>
      </x:c>
      <x:c r="B181" s="23" t="n">
        <x:v>21</x:v>
      </x:c>
      <x:c r="C181" s="23" t="str">
        <x:v>85099B</x:v>
      </x:c>
      <x:c r="D181" s="23" t="str">
        <x:v>JUMBO BAG RED RETROSPOT</x:v>
      </x:c>
      <x:c r="E181" s="34" t="n">
        <x:v>385</x:v>
      </x:c>
      <x:c r="F181" s="55" t="n">
        <x:v>817.65</x:v>
      </x:c>
      <x:c r="G181" s="58" t="n">
        <x:f>E180</x:f>
        <x:v>549</x:v>
      </x:c>
      <x:c r="H181" s="58" t="n">
        <x:f>AVERAGE(E177:E180)</x:f>
        <x:v>810.75</x:v>
      </x:c>
      <x:c r="I181" s="58" t="n">
        <x:f>AVERAGE(E173:E180)</x:f>
        <x:v>941.25</x:v>
      </x:c>
      <x:c r="J181" s="58" t="n">
        <x:f>IF(G181="","",ABS(E181-G181))</x:f>
        <x:v>164</x:v>
      </x:c>
      <x:c r="K181" s="58" t="n">
        <x:f>IF(H181="","",ABS(E181-H181))</x:f>
        <x:v>425.75</x:v>
      </x:c>
      <x:c r="L181" s="58" t="n">
        <x:f>IF(I181="","",ABS(E181-I181))</x:f>
        <x:v>556.25</x:v>
      </x:c>
      <x:c r="M181" s="23" t="str">
        <x:f>IF(B181&gt;44,"Validation","Training")</x:f>
        <x:v>Training</x:v>
      </x:c>
      <x:c r="N181" s="61" t="n">
        <x:f>IF(OR(H181="",E181=0),"",K181/E181)</x:f>
        <x:v>1.1058441558441559</x:v>
      </x:c>
    </x:row>
    <x:row r="182">
      <x:c r="A182" s="28" t="n">
        <x:v>40665</x:v>
      </x:c>
      <x:c r="B182" s="23" t="n">
        <x:v>22</x:v>
      </x:c>
      <x:c r="C182" s="23" t="str">
        <x:v>85099B</x:v>
      </x:c>
      <x:c r="D182" s="23" t="str">
        <x:v>JUMBO BAG RED RETROSPOT</x:v>
      </x:c>
      <x:c r="E182" s="34" t="n">
        <x:v>380</x:v>
      </x:c>
      <x:c r="F182" s="55" t="n">
        <x:v>813.7</x:v>
      </x:c>
      <x:c r="G182" s="58" t="n">
        <x:f>E181</x:f>
        <x:v>385</x:v>
      </x:c>
      <x:c r="H182" s="58" t="n">
        <x:f>AVERAGE(E178:E181)</x:f>
        <x:v>631.25</x:v>
      </x:c>
      <x:c r="I182" s="58" t="n">
        <x:f>AVERAGE(E174:E181)</x:f>
        <x:v>911.375</x:v>
      </x:c>
      <x:c r="J182" s="58" t="n">
        <x:f>IF(G182="","",ABS(E182-G182))</x:f>
        <x:v>5</x:v>
      </x:c>
      <x:c r="K182" s="58" t="n">
        <x:f>IF(H182="","",ABS(E182-H182))</x:f>
        <x:v>251.25</x:v>
      </x:c>
      <x:c r="L182" s="58" t="n">
        <x:f>IF(I182="","",ABS(E182-I182))</x:f>
        <x:v>531.375</x:v>
      </x:c>
      <x:c r="M182" s="23" t="str">
        <x:f>IF(B182&gt;44,"Validation","Training")</x:f>
        <x:v>Training</x:v>
      </x:c>
      <x:c r="N182" s="61" t="n">
        <x:f>IF(OR(H182="",E182=0),"",K182/E182)</x:f>
        <x:v>0.6611842105263158</x:v>
      </x:c>
    </x:row>
    <x:row r="183">
      <x:c r="A183" s="28" t="n">
        <x:v>40672</x:v>
      </x:c>
      <x:c r="B183" s="23" t="n">
        <x:v>23</x:v>
      </x:c>
      <x:c r="C183" s="23" t="str">
        <x:v>85099B</x:v>
      </x:c>
      <x:c r="D183" s="23" t="str">
        <x:v>JUMBO BAG RED RETROSPOT</x:v>
      </x:c>
      <x:c r="E183" s="34" t="n">
        <x:v>1206</x:v>
      </x:c>
      <x:c r="F183" s="55" t="n">
        <x:v>2339.73</x:v>
      </x:c>
      <x:c r="G183" s="58" t="n">
        <x:f>E182</x:f>
        <x:v>380</x:v>
      </x:c>
      <x:c r="H183" s="58" t="n">
        <x:f>AVERAGE(E179:E182)</x:f>
        <x:v>482.5</x:v>
      </x:c>
      <x:c r="I183" s="58" t="n">
        <x:f>AVERAGE(E175:E182)</x:f>
        <x:v>866.625</x:v>
      </x:c>
      <x:c r="J183" s="58" t="n">
        <x:f>IF(G183="","",ABS(E183-G183))</x:f>
        <x:v>826</x:v>
      </x:c>
      <x:c r="K183" s="58" t="n">
        <x:f>IF(H183="","",ABS(E183-H183))</x:f>
        <x:v>723.5</x:v>
      </x:c>
      <x:c r="L183" s="58" t="n">
        <x:f>IF(I183="","",ABS(E183-I183))</x:f>
        <x:v>339.375</x:v>
      </x:c>
      <x:c r="M183" s="23" t="str">
        <x:f>IF(B183&gt;44,"Validation","Training")</x:f>
        <x:v>Training</x:v>
      </x:c>
      <x:c r="N183" s="61" t="n">
        <x:f>IF(OR(H183="",E183=0),"",K183/E183)</x:f>
        <x:v>0.5999170812603648</x:v>
      </x:c>
    </x:row>
    <x:row r="184">
      <x:c r="A184" s="28" t="n">
        <x:v>40679</x:v>
      </x:c>
      <x:c r="B184" s="23" t="n">
        <x:v>24</x:v>
      </x:c>
      <x:c r="C184" s="23" t="str">
        <x:v>85099B</x:v>
      </x:c>
      <x:c r="D184" s="23" t="str">
        <x:v>JUMBO BAG RED RETROSPOT</x:v>
      </x:c>
      <x:c r="E184" s="34" t="n">
        <x:v>978</x:v>
      </x:c>
      <x:c r="F184" s="55" t="n">
        <x:v>1906.99</x:v>
      </x:c>
      <x:c r="G184" s="58" t="n">
        <x:f>E183</x:f>
        <x:v>1206</x:v>
      </x:c>
      <x:c r="H184" s="58" t="n">
        <x:f>AVERAGE(E180:E183)</x:f>
        <x:v>630</x:v>
      </x:c>
      <x:c r="I184" s="58" t="n">
        <x:f>AVERAGE(E176:E183)</x:f>
        <x:v>824.125</x:v>
      </x:c>
      <x:c r="J184" s="58" t="n">
        <x:f>IF(G184="","",ABS(E184-G184))</x:f>
        <x:v>228</x:v>
      </x:c>
      <x:c r="K184" s="58" t="n">
        <x:f>IF(H184="","",ABS(E184-H184))</x:f>
        <x:v>348</x:v>
      </x:c>
      <x:c r="L184" s="58" t="n">
        <x:f>IF(I184="","",ABS(E184-I184))</x:f>
        <x:v>153.875</x:v>
      </x:c>
      <x:c r="M184" s="23" t="str">
        <x:f>IF(B184&gt;44,"Validation","Training")</x:f>
        <x:v>Training</x:v>
      </x:c>
      <x:c r="N184" s="61" t="n">
        <x:f>IF(OR(H184="",E184=0),"",K184/E184)</x:f>
        <x:v>0.3558282208588957</x:v>
      </x:c>
    </x:row>
    <x:row r="185">
      <x:c r="A185" s="28" t="n">
        <x:v>40686</x:v>
      </x:c>
      <x:c r="B185" s="23" t="n">
        <x:v>25</x:v>
      </x:c>
      <x:c r="C185" s="23" t="str">
        <x:v>85099B</x:v>
      </x:c>
      <x:c r="D185" s="23" t="str">
        <x:v>JUMBO BAG RED RETROSPOT</x:v>
      </x:c>
      <x:c r="E185" s="34" t="n">
        <x:v>933</x:v>
      </x:c>
      <x:c r="F185" s="55" t="n">
        <x:v>1802.34</x:v>
      </x:c>
      <x:c r="G185" s="58" t="n">
        <x:f>E184</x:f>
        <x:v>978</x:v>
      </x:c>
      <x:c r="H185" s="58" t="n">
        <x:f>AVERAGE(E181:E184)</x:f>
        <x:v>737.25</x:v>
      </x:c>
      <x:c r="I185" s="58" t="n">
        <x:f>AVERAGE(E177:E184)</x:f>
        <x:v>774</x:v>
      </x:c>
      <x:c r="J185" s="58" t="n">
        <x:f>IF(G185="","",ABS(E185-G185))</x:f>
        <x:v>45</x:v>
      </x:c>
      <x:c r="K185" s="58" t="n">
        <x:f>IF(H185="","",ABS(E185-H185))</x:f>
        <x:v>195.75</x:v>
      </x:c>
      <x:c r="L185" s="58" t="n">
        <x:f>IF(I185="","",ABS(E185-I185))</x:f>
        <x:v>159</x:v>
      </x:c>
      <x:c r="M185" s="23" t="str">
        <x:f>IF(B185&gt;44,"Validation","Training")</x:f>
        <x:v>Training</x:v>
      </x:c>
      <x:c r="N185" s="61" t="n">
        <x:f>IF(OR(H185="",E185=0),"",K185/E185)</x:f>
        <x:v>0.20980707395498394</x:v>
      </x:c>
    </x:row>
    <x:row r="186">
      <x:c r="A186" s="28" t="n">
        <x:v>40693</x:v>
      </x:c>
      <x:c r="B186" s="23" t="n">
        <x:v>26</x:v>
      </x:c>
      <x:c r="C186" s="23" t="str">
        <x:v>85099B</x:v>
      </x:c>
      <x:c r="D186" s="23" t="str">
        <x:v>JUMBO BAG RED RETROSPOT</x:v>
      </x:c>
      <x:c r="E186" s="34" t="n">
        <x:v>273</x:v>
      </x:c>
      <x:c r="F186" s="55" t="n">
        <x:v>579.84</x:v>
      </x:c>
      <x:c r="G186" s="58" t="n">
        <x:f>E185</x:f>
        <x:v>933</x:v>
      </x:c>
      <x:c r="H186" s="58" t="n">
        <x:f>AVERAGE(E182:E185)</x:f>
        <x:v>874.25</x:v>
      </x:c>
      <x:c r="I186" s="58" t="n">
        <x:f>AVERAGE(E178:E185)</x:f>
        <x:v>752.75</x:v>
      </x:c>
      <x:c r="J186" s="58" t="n">
        <x:f>IF(G186="","",ABS(E186-G186))</x:f>
        <x:v>660</x:v>
      </x:c>
      <x:c r="K186" s="58" t="n">
        <x:f>IF(H186="","",ABS(E186-H186))</x:f>
        <x:v>601.25</x:v>
      </x:c>
      <x:c r="L186" s="58" t="n">
        <x:f>IF(I186="","",ABS(E186-I186))</x:f>
        <x:v>479.75</x:v>
      </x:c>
      <x:c r="M186" s="23" t="str">
        <x:f>IF(B186&gt;44,"Validation","Training")</x:f>
        <x:v>Training</x:v>
      </x:c>
      <x:c r="N186" s="61" t="n">
        <x:f>IF(OR(H186="",E186=0),"",K186/E186)</x:f>
        <x:v>2.2023809523809526</x:v>
      </x:c>
    </x:row>
    <x:row r="187">
      <x:c r="A187" s="28" t="n">
        <x:v>40700</x:v>
      </x:c>
      <x:c r="B187" s="23" t="n">
        <x:v>27</x:v>
      </x:c>
      <x:c r="C187" s="23" t="str">
        <x:v>85099B</x:v>
      </x:c>
      <x:c r="D187" s="23" t="str">
        <x:v>JUMBO BAG RED RETROSPOT</x:v>
      </x:c>
      <x:c r="E187" s="34" t="n">
        <x:v>883</x:v>
      </x:c>
      <x:c r="F187" s="55" t="n">
        <x:v>1835.74</x:v>
      </x:c>
      <x:c r="G187" s="58" t="n">
        <x:f>E186</x:f>
        <x:v>273</x:v>
      </x:c>
      <x:c r="H187" s="58" t="n">
        <x:f>AVERAGE(E183:E186)</x:f>
        <x:v>847.5</x:v>
      </x:c>
      <x:c r="I187" s="58" t="n">
        <x:f>AVERAGE(E179:E186)</x:f>
        <x:v>665</x:v>
      </x:c>
      <x:c r="J187" s="58" t="n">
        <x:f>IF(G187="","",ABS(E187-G187))</x:f>
        <x:v>610</x:v>
      </x:c>
      <x:c r="K187" s="58" t="n">
        <x:f>IF(H187="","",ABS(E187-H187))</x:f>
        <x:v>35.5</x:v>
      </x:c>
      <x:c r="L187" s="58" t="n">
        <x:f>IF(I187="","",ABS(E187-I187))</x:f>
        <x:v>218</x:v>
      </x:c>
      <x:c r="M187" s="23" t="str">
        <x:f>IF(B187&gt;44,"Validation","Training")</x:f>
        <x:v>Training</x:v>
      </x:c>
      <x:c r="N187" s="61" t="n">
        <x:f>IF(OR(H187="",E187=0),"",K187/E187)</x:f>
        <x:v>0.04020385050962627</x:v>
      </x:c>
    </x:row>
    <x:row r="188">
      <x:c r="A188" s="28" t="n">
        <x:v>40707</x:v>
      </x:c>
      <x:c r="B188" s="23" t="n">
        <x:v>28</x:v>
      </x:c>
      <x:c r="C188" s="23" t="str">
        <x:v>85099B</x:v>
      </x:c>
      <x:c r="D188" s="23" t="str">
        <x:v>JUMBO BAG RED RETROSPOT</x:v>
      </x:c>
      <x:c r="E188" s="34" t="n">
        <x:v>959</x:v>
      </x:c>
      <x:c r="F188" s="55" t="n">
        <x:v>1840.92</x:v>
      </x:c>
      <x:c r="G188" s="58" t="n">
        <x:f>E187</x:f>
        <x:v>883</x:v>
      </x:c>
      <x:c r="H188" s="58" t="n">
        <x:f>AVERAGE(E184:E187)</x:f>
        <x:v>766.75</x:v>
      </x:c>
      <x:c r="I188" s="58" t="n">
        <x:f>AVERAGE(E180:E187)</x:f>
        <x:v>698.375</x:v>
      </x:c>
      <x:c r="J188" s="58" t="n">
        <x:f>IF(G188="","",ABS(E188-G188))</x:f>
        <x:v>76</x:v>
      </x:c>
      <x:c r="K188" s="58" t="n">
        <x:f>IF(H188="","",ABS(E188-H188))</x:f>
        <x:v>192.25</x:v>
      </x:c>
      <x:c r="L188" s="58" t="n">
        <x:f>IF(I188="","",ABS(E188-I188))</x:f>
        <x:v>260.625</x:v>
      </x:c>
      <x:c r="M188" s="23" t="str">
        <x:f>IF(B188&gt;44,"Validation","Training")</x:f>
        <x:v>Training</x:v>
      </x:c>
      <x:c r="N188" s="61" t="n">
        <x:f>IF(OR(H188="",E188=0),"",K188/E188)</x:f>
        <x:v>0.20046923879040668</x:v>
      </x:c>
    </x:row>
    <x:row r="189">
      <x:c r="A189" s="28" t="n">
        <x:v>40714</x:v>
      </x:c>
      <x:c r="B189" s="23" t="n">
        <x:v>29</x:v>
      </x:c>
      <x:c r="C189" s="23" t="str">
        <x:v>85099B</x:v>
      </x:c>
      <x:c r="D189" s="23" t="str">
        <x:v>JUMBO BAG RED RETROSPOT</x:v>
      </x:c>
      <x:c r="E189" s="34" t="n">
        <x:v>841</x:v>
      </x:c>
      <x:c r="F189" s="55" t="n">
        <x:v>1626.53</x:v>
      </x:c>
      <x:c r="G189" s="58" t="n">
        <x:f>E188</x:f>
        <x:v>959</x:v>
      </x:c>
      <x:c r="H189" s="58" t="n">
        <x:f>AVERAGE(E185:E188)</x:f>
        <x:v>762</x:v>
      </x:c>
      <x:c r="I189" s="58" t="n">
        <x:f>AVERAGE(E181:E188)</x:f>
        <x:v>749.625</x:v>
      </x:c>
      <x:c r="J189" s="58" t="n">
        <x:f>IF(G189="","",ABS(E189-G189))</x:f>
        <x:v>118</x:v>
      </x:c>
      <x:c r="K189" s="58" t="n">
        <x:f>IF(H189="","",ABS(E189-H189))</x:f>
        <x:v>79</x:v>
      </x:c>
      <x:c r="L189" s="58" t="n">
        <x:f>IF(I189="","",ABS(E189-I189))</x:f>
        <x:v>91.375</x:v>
      </x:c>
      <x:c r="M189" s="23" t="str">
        <x:f>IF(B189&gt;44,"Validation","Training")</x:f>
        <x:v>Training</x:v>
      </x:c>
      <x:c r="N189" s="61" t="n">
        <x:f>IF(OR(H189="",E189=0),"",K189/E189)</x:f>
        <x:v>0.093935790725327</x:v>
      </x:c>
    </x:row>
    <x:row r="190">
      <x:c r="A190" s="28" t="n">
        <x:v>40721</x:v>
      </x:c>
      <x:c r="B190" s="23" t="n">
        <x:v>30</x:v>
      </x:c>
      <x:c r="C190" s="23" t="str">
        <x:v>85099B</x:v>
      </x:c>
      <x:c r="D190" s="23" t="str">
        <x:v>JUMBO BAG RED RETROSPOT</x:v>
      </x:c>
      <x:c r="E190" s="34" t="n">
        <x:v>815</x:v>
      </x:c>
      <x:c r="F190" s="55" t="n">
        <x:v>1568.55</x:v>
      </x:c>
      <x:c r="G190" s="58" t="n">
        <x:f>E189</x:f>
        <x:v>841</x:v>
      </x:c>
      <x:c r="H190" s="58" t="n">
        <x:f>AVERAGE(E186:E189)</x:f>
        <x:v>739</x:v>
      </x:c>
      <x:c r="I190" s="58" t="n">
        <x:f>AVERAGE(E182:E189)</x:f>
        <x:v>806.625</x:v>
      </x:c>
      <x:c r="J190" s="58" t="n">
        <x:f>IF(G190="","",ABS(E190-G190))</x:f>
        <x:v>26</x:v>
      </x:c>
      <x:c r="K190" s="58" t="n">
        <x:f>IF(H190="","",ABS(E190-H190))</x:f>
        <x:v>76</x:v>
      </x:c>
      <x:c r="L190" s="58" t="n">
        <x:f>IF(I190="","",ABS(E190-I190))</x:f>
        <x:v>8.375</x:v>
      </x:c>
      <x:c r="M190" s="23" t="str">
        <x:f>IF(B190&gt;44,"Validation","Training")</x:f>
        <x:v>Training</x:v>
      </x:c>
      <x:c r="N190" s="61" t="n">
        <x:f>IF(OR(H190="",E190=0),"",K190/E190)</x:f>
        <x:v>0.09325153374233129</x:v>
      </x:c>
    </x:row>
    <x:row r="191">
      <x:c r="A191" s="28" t="n">
        <x:v>40728</x:v>
      </x:c>
      <x:c r="B191" s="23" t="n">
        <x:v>31</x:v>
      </x:c>
      <x:c r="C191" s="23" t="str">
        <x:v>85099B</x:v>
      </x:c>
      <x:c r="D191" s="23" t="str">
        <x:v>JUMBO BAG RED RETROSPOT</x:v>
      </x:c>
      <x:c r="E191" s="34" t="n">
        <x:v>1364</x:v>
      </x:c>
      <x:c r="F191" s="55" t="n">
        <x:v>2686.52</x:v>
      </x:c>
      <x:c r="G191" s="58" t="n">
        <x:f>E190</x:f>
        <x:v>815</x:v>
      </x:c>
      <x:c r="H191" s="58" t="n">
        <x:f>AVERAGE(E187:E190)</x:f>
        <x:v>874.5</x:v>
      </x:c>
      <x:c r="I191" s="58" t="n">
        <x:f>AVERAGE(E183:E190)</x:f>
        <x:v>861</x:v>
      </x:c>
      <x:c r="J191" s="58" t="n">
        <x:f>IF(G191="","",ABS(E191-G191))</x:f>
        <x:v>549</x:v>
      </x:c>
      <x:c r="K191" s="58" t="n">
        <x:f>IF(H191="","",ABS(E191-H191))</x:f>
        <x:v>489.5</x:v>
      </x:c>
      <x:c r="L191" s="58" t="n">
        <x:f>IF(I191="","",ABS(E191-I191))</x:f>
        <x:v>503</x:v>
      </x:c>
      <x:c r="M191" s="23" t="str">
        <x:f>IF(B191&gt;44,"Validation","Training")</x:f>
        <x:v>Training</x:v>
      </x:c>
      <x:c r="N191" s="61" t="n">
        <x:f>IF(OR(H191="",E191=0),"",K191/E191)</x:f>
        <x:v>0.3588709677419355</x:v>
      </x:c>
    </x:row>
    <x:row r="192">
      <x:c r="A192" s="28" t="n">
        <x:v>40735</x:v>
      </x:c>
      <x:c r="B192" s="23" t="n">
        <x:v>32</x:v>
      </x:c>
      <x:c r="C192" s="23" t="str">
        <x:v>85099B</x:v>
      </x:c>
      <x:c r="D192" s="23" t="str">
        <x:v>JUMBO BAG RED RETROSPOT</x:v>
      </x:c>
      <x:c r="E192" s="34" t="n">
        <x:v>431</x:v>
      </x:c>
      <x:c r="F192" s="55" t="n">
        <x:v>866.33</x:v>
      </x:c>
      <x:c r="G192" s="58" t="n">
        <x:f>E191</x:f>
        <x:v>1364</x:v>
      </x:c>
      <x:c r="H192" s="58" t="n">
        <x:f>AVERAGE(E188:E191)</x:f>
        <x:v>994.75</x:v>
      </x:c>
      <x:c r="I192" s="58" t="n">
        <x:f>AVERAGE(E184:E191)</x:f>
        <x:v>880.75</x:v>
      </x:c>
      <x:c r="J192" s="58" t="n">
        <x:f>IF(G192="","",ABS(E192-G192))</x:f>
        <x:v>933</x:v>
      </x:c>
      <x:c r="K192" s="58" t="n">
        <x:f>IF(H192="","",ABS(E192-H192))</x:f>
        <x:v>563.75</x:v>
      </x:c>
      <x:c r="L192" s="58" t="n">
        <x:f>IF(I192="","",ABS(E192-I192))</x:f>
        <x:v>449.75</x:v>
      </x:c>
      <x:c r="M192" s="23" t="str">
        <x:f>IF(B192&gt;44,"Validation","Training")</x:f>
        <x:v>Training</x:v>
      </x:c>
      <x:c r="N192" s="61" t="n">
        <x:f>IF(OR(H192="",E192=0),"",K192/E192)</x:f>
        <x:v>1.3080046403712298</x:v>
      </x:c>
    </x:row>
    <x:row r="193">
      <x:c r="A193" s="28" t="n">
        <x:v>40742</x:v>
      </x:c>
      <x:c r="B193" s="23" t="n">
        <x:v>33</x:v>
      </x:c>
      <x:c r="C193" s="23" t="str">
        <x:v>85099B</x:v>
      </x:c>
      <x:c r="D193" s="23" t="str">
        <x:v>JUMBO BAG RED RETROSPOT</x:v>
      </x:c>
      <x:c r="E193" s="34" t="n">
        <x:v>733</x:v>
      </x:c>
      <x:c r="F193" s="55" t="n">
        <x:v>1453.59</x:v>
      </x:c>
      <x:c r="G193" s="58" t="n">
        <x:f>E192</x:f>
        <x:v>431</x:v>
      </x:c>
      <x:c r="H193" s="58" t="n">
        <x:f>AVERAGE(E189:E192)</x:f>
        <x:v>862.75</x:v>
      </x:c>
      <x:c r="I193" s="58" t="n">
        <x:f>AVERAGE(E185:E192)</x:f>
        <x:v>812.375</x:v>
      </x:c>
      <x:c r="J193" s="58" t="n">
        <x:f>IF(G193="","",ABS(E193-G193))</x:f>
        <x:v>302</x:v>
      </x:c>
      <x:c r="K193" s="58" t="n">
        <x:f>IF(H193="","",ABS(E193-H193))</x:f>
        <x:v>129.75</x:v>
      </x:c>
      <x:c r="L193" s="58" t="n">
        <x:f>IF(I193="","",ABS(E193-I193))</x:f>
        <x:v>79.375</x:v>
      </x:c>
      <x:c r="M193" s="23" t="str">
        <x:f>IF(B193&gt;44,"Validation","Training")</x:f>
        <x:v>Training</x:v>
      </x:c>
      <x:c r="N193" s="61" t="n">
        <x:f>IF(OR(H193="",E193=0),"",K193/E193)</x:f>
        <x:v>0.17701227830832197</x:v>
      </x:c>
    </x:row>
    <x:row r="194">
      <x:c r="A194" s="28" t="n">
        <x:v>40749</x:v>
      </x:c>
      <x:c r="B194" s="23" t="n">
        <x:v>34</x:v>
      </x:c>
      <x:c r="C194" s="23" t="str">
        <x:v>85099B</x:v>
      </x:c>
      <x:c r="D194" s="23" t="str">
        <x:v>JUMBO BAG RED RETROSPOT</x:v>
      </x:c>
      <x:c r="E194" s="34" t="n">
        <x:v>540</x:v>
      </x:c>
      <x:c r="F194" s="55" t="n">
        <x:v>1106.2</x:v>
      </x:c>
      <x:c r="G194" s="58" t="n">
        <x:f>E193</x:f>
        <x:v>733</x:v>
      </x:c>
      <x:c r="H194" s="58" t="n">
        <x:f>AVERAGE(E190:E193)</x:f>
        <x:v>835.75</x:v>
      </x:c>
      <x:c r="I194" s="58" t="n">
        <x:f>AVERAGE(E186:E193)</x:f>
        <x:v>787.375</x:v>
      </x:c>
      <x:c r="J194" s="58" t="n">
        <x:f>IF(G194="","",ABS(E194-G194))</x:f>
        <x:v>193</x:v>
      </x:c>
      <x:c r="K194" s="58" t="n">
        <x:f>IF(H194="","",ABS(E194-H194))</x:f>
        <x:v>295.75</x:v>
      </x:c>
      <x:c r="L194" s="58" t="n">
        <x:f>IF(I194="","",ABS(E194-I194))</x:f>
        <x:v>247.375</x:v>
      </x:c>
      <x:c r="M194" s="23" t="str">
        <x:f>IF(B194&gt;44,"Validation","Training")</x:f>
        <x:v>Training</x:v>
      </x:c>
      <x:c r="N194" s="61" t="n">
        <x:f>IF(OR(H194="",E194=0),"",K194/E194)</x:f>
        <x:v>0.5476851851851852</x:v>
      </x:c>
    </x:row>
    <x:row r="195">
      <x:c r="A195" s="28" t="n">
        <x:v>40756</x:v>
      </x:c>
      <x:c r="B195" s="23" t="n">
        <x:v>35</x:v>
      </x:c>
      <x:c r="C195" s="23" t="str">
        <x:v>85099B</x:v>
      </x:c>
      <x:c r="D195" s="23" t="str">
        <x:v>JUMBO BAG RED RETROSPOT</x:v>
      </x:c>
      <x:c r="E195" s="34" t="n">
        <x:v>1050</x:v>
      </x:c>
      <x:c r="F195" s="55" t="n">
        <x:v>1988.65</x:v>
      </x:c>
      <x:c r="G195" s="58" t="n">
        <x:f>E194</x:f>
        <x:v>540</x:v>
      </x:c>
      <x:c r="H195" s="58" t="n">
        <x:f>AVERAGE(E191:E194)</x:f>
        <x:v>767</x:v>
      </x:c>
      <x:c r="I195" s="58" t="n">
        <x:f>AVERAGE(E187:E194)</x:f>
        <x:v>820.75</x:v>
      </x:c>
      <x:c r="J195" s="58" t="n">
        <x:f>IF(G195="","",ABS(E195-G195))</x:f>
        <x:v>510</x:v>
      </x:c>
      <x:c r="K195" s="58" t="n">
        <x:f>IF(H195="","",ABS(E195-H195))</x:f>
        <x:v>283</x:v>
      </x:c>
      <x:c r="L195" s="58" t="n">
        <x:f>IF(I195="","",ABS(E195-I195))</x:f>
        <x:v>229.25</x:v>
      </x:c>
      <x:c r="M195" s="23" t="str">
        <x:f>IF(B195&gt;44,"Validation","Training")</x:f>
        <x:v>Training</x:v>
      </x:c>
      <x:c r="N195" s="61" t="n">
        <x:f>IF(OR(H195="",E195=0),"",K195/E195)</x:f>
        <x:v>0.2695238095238095</x:v>
      </x:c>
    </x:row>
    <x:row r="196">
      <x:c r="A196" s="28" t="n">
        <x:v>40763</x:v>
      </x:c>
      <x:c r="B196" s="23" t="n">
        <x:v>36</x:v>
      </x:c>
      <x:c r="C196" s="23" t="str">
        <x:v>85099B</x:v>
      </x:c>
      <x:c r="D196" s="23" t="str">
        <x:v>JUMBO BAG RED RETROSPOT</x:v>
      </x:c>
      <x:c r="E196" s="34" t="n">
        <x:v>1373</x:v>
      </x:c>
      <x:c r="F196" s="55" t="n">
        <x:v>2815.94</x:v>
      </x:c>
      <x:c r="G196" s="58" t="n">
        <x:f>E195</x:f>
        <x:v>1050</x:v>
      </x:c>
      <x:c r="H196" s="58" t="n">
        <x:f>AVERAGE(E192:E195)</x:f>
        <x:v>688.5</x:v>
      </x:c>
      <x:c r="I196" s="58" t="n">
        <x:f>AVERAGE(E188:E195)</x:f>
        <x:v>841.625</x:v>
      </x:c>
      <x:c r="J196" s="58" t="n">
        <x:f>IF(G196="","",ABS(E196-G196))</x:f>
        <x:v>323</x:v>
      </x:c>
      <x:c r="K196" s="58" t="n">
        <x:f>IF(H196="","",ABS(E196-H196))</x:f>
        <x:v>684.5</x:v>
      </x:c>
      <x:c r="L196" s="58" t="n">
        <x:f>IF(I196="","",ABS(E196-I196))</x:f>
        <x:v>531.375</x:v>
      </x:c>
      <x:c r="M196" s="23" t="str">
        <x:f>IF(B196&gt;44,"Validation","Training")</x:f>
        <x:v>Training</x:v>
      </x:c>
      <x:c r="N196" s="61" t="n">
        <x:f>IF(OR(H196="",E196=0),"",K196/E196)</x:f>
        <x:v>0.49854333576110704</x:v>
      </x:c>
    </x:row>
    <x:row r="197">
      <x:c r="A197" s="28" t="n">
        <x:v>40770</x:v>
      </x:c>
      <x:c r="B197" s="23" t="n">
        <x:v>37</x:v>
      </x:c>
      <x:c r="C197" s="23" t="str">
        <x:v>85099B</x:v>
      </x:c>
      <x:c r="D197" s="23" t="str">
        <x:v>JUMBO BAG RED RETROSPOT</x:v>
      </x:c>
      <x:c r="E197" s="34" t="n">
        <x:v>1356</x:v>
      </x:c>
      <x:c r="F197" s="55" t="n">
        <x:v>2581.23</x:v>
      </x:c>
      <x:c r="G197" s="58" t="n">
        <x:f>E196</x:f>
        <x:v>1373</x:v>
      </x:c>
      <x:c r="H197" s="58" t="n">
        <x:f>AVERAGE(E193:E196)</x:f>
        <x:v>924</x:v>
      </x:c>
      <x:c r="I197" s="58" t="n">
        <x:f>AVERAGE(E189:E196)</x:f>
        <x:v>893.375</x:v>
      </x:c>
      <x:c r="J197" s="58" t="n">
        <x:f>IF(G197="","",ABS(E197-G197))</x:f>
        <x:v>17</x:v>
      </x:c>
      <x:c r="K197" s="58" t="n">
        <x:f>IF(H197="","",ABS(E197-H197))</x:f>
        <x:v>432</x:v>
      </x:c>
      <x:c r="L197" s="58" t="n">
        <x:f>IF(I197="","",ABS(E197-I197))</x:f>
        <x:v>462.625</x:v>
      </x:c>
      <x:c r="M197" s="23" t="str">
        <x:f>IF(B197&gt;44,"Validation","Training")</x:f>
        <x:v>Training</x:v>
      </x:c>
      <x:c r="N197" s="61" t="n">
        <x:f>IF(OR(H197="",E197=0),"",K197/E197)</x:f>
        <x:v>0.3185840707964602</x:v>
      </x:c>
    </x:row>
    <x:row r="198">
      <x:c r="A198" s="28" t="n">
        <x:v>40777</x:v>
      </x:c>
      <x:c r="B198" s="23" t="n">
        <x:v>38</x:v>
      </x:c>
      <x:c r="C198" s="23" t="str">
        <x:v>85099B</x:v>
      </x:c>
      <x:c r="D198" s="23" t="str">
        <x:v>JUMBO BAG RED RETROSPOT</x:v>
      </x:c>
      <x:c r="E198" s="34" t="n">
        <x:v>1518</x:v>
      </x:c>
      <x:c r="F198" s="55" t="n">
        <x:v>2941.59</x:v>
      </x:c>
      <x:c r="G198" s="58" t="n">
        <x:f>E197</x:f>
        <x:v>1356</x:v>
      </x:c>
      <x:c r="H198" s="58" t="n">
        <x:f>AVERAGE(E194:E197)</x:f>
        <x:v>1079.75</x:v>
      </x:c>
      <x:c r="I198" s="58" t="n">
        <x:f>AVERAGE(E190:E197)</x:f>
        <x:v>957.75</x:v>
      </x:c>
      <x:c r="J198" s="58" t="n">
        <x:f>IF(G198="","",ABS(E198-G198))</x:f>
        <x:v>162</x:v>
      </x:c>
      <x:c r="K198" s="58" t="n">
        <x:f>IF(H198="","",ABS(E198-H198))</x:f>
        <x:v>438.25</x:v>
      </x:c>
      <x:c r="L198" s="58" t="n">
        <x:f>IF(I198="","",ABS(E198-I198))</x:f>
        <x:v>560.25</x:v>
      </x:c>
      <x:c r="M198" s="23" t="str">
        <x:f>IF(B198&gt;44,"Validation","Training")</x:f>
        <x:v>Training</x:v>
      </x:c>
      <x:c r="N198" s="61" t="n">
        <x:f>IF(OR(H198="",E198=0),"",K198/E198)</x:f>
        <x:v>0.2887022397891963</x:v>
      </x:c>
    </x:row>
    <x:row r="199">
      <x:c r="A199" s="28" t="n">
        <x:v>40784</x:v>
      </x:c>
      <x:c r="B199" s="23" t="n">
        <x:v>39</x:v>
      </x:c>
      <x:c r="C199" s="23" t="str">
        <x:v>85099B</x:v>
      </x:c>
      <x:c r="D199" s="23" t="str">
        <x:v>JUMBO BAG RED RETROSPOT</x:v>
      </x:c>
      <x:c r="E199" s="34" t="n">
        <x:v>717</x:v>
      </x:c>
      <x:c r="F199" s="55" t="n">
        <x:v>1554.01</x:v>
      </x:c>
      <x:c r="G199" s="58" t="n">
        <x:f>E198</x:f>
        <x:v>1518</x:v>
      </x:c>
      <x:c r="H199" s="58" t="n">
        <x:f>AVERAGE(E195:E198)</x:f>
        <x:v>1324.25</x:v>
      </x:c>
      <x:c r="I199" s="58" t="n">
        <x:f>AVERAGE(E191:E198)</x:f>
        <x:v>1045.625</x:v>
      </x:c>
      <x:c r="J199" s="58" t="n">
        <x:f>IF(G199="","",ABS(E199-G199))</x:f>
        <x:v>801</x:v>
      </x:c>
      <x:c r="K199" s="58" t="n">
        <x:f>IF(H199="","",ABS(E199-H199))</x:f>
        <x:v>607.25</x:v>
      </x:c>
      <x:c r="L199" s="58" t="n">
        <x:f>IF(I199="","",ABS(E199-I199))</x:f>
        <x:v>328.625</x:v>
      </x:c>
      <x:c r="M199" s="23" t="str">
        <x:f>IF(B199&gt;44,"Validation","Training")</x:f>
        <x:v>Training</x:v>
      </x:c>
      <x:c r="N199" s="61" t="n">
        <x:f>IF(OR(H199="",E199=0),"",K199/E199)</x:f>
        <x:v>0.846931659693166</x:v>
      </x:c>
    </x:row>
    <x:row r="200">
      <x:c r="A200" s="28" t="n">
        <x:v>40791</x:v>
      </x:c>
      <x:c r="B200" s="23" t="n">
        <x:v>40</x:v>
      </x:c>
      <x:c r="C200" s="23" t="str">
        <x:v>85099B</x:v>
      </x:c>
      <x:c r="D200" s="23" t="str">
        <x:v>JUMBO BAG RED RETROSPOT</x:v>
      </x:c>
      <x:c r="E200" s="34" t="n">
        <x:v>556</x:v>
      </x:c>
      <x:c r="F200" s="55" t="n">
        <x:v>1162.03</x:v>
      </x:c>
      <x:c r="G200" s="58" t="n">
        <x:f>E199</x:f>
        <x:v>717</x:v>
      </x:c>
      <x:c r="H200" s="58" t="n">
        <x:f>AVERAGE(E196:E199)</x:f>
        <x:v>1241</x:v>
      </x:c>
      <x:c r="I200" s="58" t="n">
        <x:f>AVERAGE(E192:E199)</x:f>
        <x:v>964.75</x:v>
      </x:c>
      <x:c r="J200" s="58" t="n">
        <x:f>IF(G200="","",ABS(E200-G200))</x:f>
        <x:v>161</x:v>
      </x:c>
      <x:c r="K200" s="58" t="n">
        <x:f>IF(H200="","",ABS(E200-H200))</x:f>
        <x:v>685</x:v>
      </x:c>
      <x:c r="L200" s="58" t="n">
        <x:f>IF(I200="","",ABS(E200-I200))</x:f>
        <x:v>408.75</x:v>
      </x:c>
      <x:c r="M200" s="23" t="str">
        <x:f>IF(B200&gt;44,"Validation","Training")</x:f>
        <x:v>Training</x:v>
      </x:c>
      <x:c r="N200" s="61" t="n">
        <x:f>IF(OR(H200="",E200=0),"",K200/E200)</x:f>
        <x:v>1.2320143884892085</x:v>
      </x:c>
    </x:row>
    <x:row r="201">
      <x:c r="A201" s="28" t="n">
        <x:v>40798</x:v>
      </x:c>
      <x:c r="B201" s="23" t="n">
        <x:v>41</x:v>
      </x:c>
      <x:c r="C201" s="23" t="str">
        <x:v>85099B</x:v>
      </x:c>
      <x:c r="D201" s="23" t="str">
        <x:v>JUMBO BAG RED RETROSPOT</x:v>
      </x:c>
      <x:c r="E201" s="34" t="n">
        <x:v>743</x:v>
      </x:c>
      <x:c r="F201" s="55" t="n">
        <x:v>1571.19</x:v>
      </x:c>
      <x:c r="G201" s="58" t="n">
        <x:f>E200</x:f>
        <x:v>556</x:v>
      </x:c>
      <x:c r="H201" s="58" t="n">
        <x:f>AVERAGE(E197:E200)</x:f>
        <x:v>1036.75</x:v>
      </x:c>
      <x:c r="I201" s="58" t="n">
        <x:f>AVERAGE(E193:E200)</x:f>
        <x:v>980.375</x:v>
      </x:c>
      <x:c r="J201" s="58" t="n">
        <x:f>IF(G201="","",ABS(E201-G201))</x:f>
        <x:v>187</x:v>
      </x:c>
      <x:c r="K201" s="58" t="n">
        <x:f>IF(H201="","",ABS(E201-H201))</x:f>
        <x:v>293.75</x:v>
      </x:c>
      <x:c r="L201" s="58" t="n">
        <x:f>IF(I201="","",ABS(E201-I201))</x:f>
        <x:v>237.375</x:v>
      </x:c>
      <x:c r="M201" s="23" t="str">
        <x:f>IF(B201&gt;44,"Validation","Training")</x:f>
        <x:v>Training</x:v>
      </x:c>
      <x:c r="N201" s="61" t="n">
        <x:f>IF(OR(H201="",E201=0),"",K201/E201)</x:f>
        <x:v>0.3953566621803499</x:v>
      </x:c>
    </x:row>
    <x:row r="202">
      <x:c r="A202" s="28" t="n">
        <x:v>40805</x:v>
      </x:c>
      <x:c r="B202" s="23" t="n">
        <x:v>42</x:v>
      </x:c>
      <x:c r="C202" s="23" t="str">
        <x:v>85099B</x:v>
      </x:c>
      <x:c r="D202" s="23" t="str">
        <x:v>JUMBO BAG RED RETROSPOT</x:v>
      </x:c>
      <x:c r="E202" s="34" t="n">
        <x:v>1667</x:v>
      </x:c>
      <x:c r="F202" s="55" t="n">
        <x:v>3193.01</x:v>
      </x:c>
      <x:c r="G202" s="58" t="n">
        <x:f>E201</x:f>
        <x:v>743</x:v>
      </x:c>
      <x:c r="H202" s="58" t="n">
        <x:f>AVERAGE(E198:E201)</x:f>
        <x:v>883.5</x:v>
      </x:c>
      <x:c r="I202" s="58" t="n">
        <x:f>AVERAGE(E194:E201)</x:f>
        <x:v>981.625</x:v>
      </x:c>
      <x:c r="J202" s="58" t="n">
        <x:f>IF(G202="","",ABS(E202-G202))</x:f>
        <x:v>924</x:v>
      </x:c>
      <x:c r="K202" s="58" t="n">
        <x:f>IF(H202="","",ABS(E202-H202))</x:f>
        <x:v>783.5</x:v>
      </x:c>
      <x:c r="L202" s="58" t="n">
        <x:f>IF(I202="","",ABS(E202-I202))</x:f>
        <x:v>685.375</x:v>
      </x:c>
      <x:c r="M202" s="23" t="str">
        <x:f>IF(B202&gt;44,"Validation","Training")</x:f>
        <x:v>Training</x:v>
      </x:c>
      <x:c r="N202" s="61" t="n">
        <x:f>IF(OR(H202="",E202=0),"",K202/E202)</x:f>
        <x:v>0.47000599880023997</x:v>
      </x:c>
    </x:row>
    <x:row r="203">
      <x:c r="A203" s="28" t="n">
        <x:v>40812</x:v>
      </x:c>
      <x:c r="B203" s="23" t="n">
        <x:v>43</x:v>
      </x:c>
      <x:c r="C203" s="23" t="str">
        <x:v>85099B</x:v>
      </x:c>
      <x:c r="D203" s="23" t="str">
        <x:v>JUMBO BAG RED RETROSPOT</x:v>
      </x:c>
      <x:c r="E203" s="34" t="n">
        <x:v>929</x:v>
      </x:c>
      <x:c r="F203" s="55" t="n">
        <x:v>1885.72</x:v>
      </x:c>
      <x:c r="G203" s="58" t="n">
        <x:f>E202</x:f>
        <x:v>1667</x:v>
      </x:c>
      <x:c r="H203" s="58" t="n">
        <x:f>AVERAGE(E199:E202)</x:f>
        <x:v>920.75</x:v>
      </x:c>
      <x:c r="I203" s="58" t="n">
        <x:f>AVERAGE(E195:E202)</x:f>
        <x:v>1122.5</x:v>
      </x:c>
      <x:c r="J203" s="58" t="n">
        <x:f>IF(G203="","",ABS(E203-G203))</x:f>
        <x:v>738</x:v>
      </x:c>
      <x:c r="K203" s="58" t="n">
        <x:f>IF(H203="","",ABS(E203-H203))</x:f>
        <x:v>8.25</x:v>
      </x:c>
      <x:c r="L203" s="58" t="n">
        <x:f>IF(I203="","",ABS(E203-I203))</x:f>
        <x:v>193.5</x:v>
      </x:c>
      <x:c r="M203" s="23" t="str">
        <x:f>IF(B203&gt;44,"Validation","Training")</x:f>
        <x:v>Training</x:v>
      </x:c>
      <x:c r="N203" s="61" t="n">
        <x:f>IF(OR(H203="",E203=0),"",K203/E203)</x:f>
        <x:v>0.008880516684607105</x:v>
      </x:c>
    </x:row>
    <x:row r="204">
      <x:c r="A204" s="28" t="n">
        <x:v>40819</x:v>
      </x:c>
      <x:c r="B204" s="23" t="n">
        <x:v>44</x:v>
      </x:c>
      <x:c r="C204" s="23" t="str">
        <x:v>85099B</x:v>
      </x:c>
      <x:c r="D204" s="23" t="str">
        <x:v>JUMBO BAG RED RETROSPOT</x:v>
      </x:c>
      <x:c r="E204" s="34" t="n">
        <x:v>2709</x:v>
      </x:c>
      <x:c r="F204" s="55" t="n">
        <x:v>5007.07</x:v>
      </x:c>
      <x:c r="G204" s="58" t="n">
        <x:f>E203</x:f>
        <x:v>929</x:v>
      </x:c>
      <x:c r="H204" s="58" t="n">
        <x:f>AVERAGE(E200:E203)</x:f>
        <x:v>973.75</x:v>
      </x:c>
      <x:c r="I204" s="58" t="n">
        <x:f>AVERAGE(E196:E203)</x:f>
        <x:v>1107.375</x:v>
      </x:c>
      <x:c r="J204" s="58" t="n">
        <x:f>IF(G204="","",ABS(E204-G204))</x:f>
        <x:v>1780</x:v>
      </x:c>
      <x:c r="K204" s="58" t="n">
        <x:f>IF(H204="","",ABS(E204-H204))</x:f>
        <x:v>1735.25</x:v>
      </x:c>
      <x:c r="L204" s="58" t="n">
        <x:f>IF(I204="","",ABS(E204-I204))</x:f>
        <x:v>1601.625</x:v>
      </x:c>
      <x:c r="M204" s="23" t="str">
        <x:f>IF(B204&gt;44,"Validation","Training")</x:f>
        <x:v>Training</x:v>
      </x:c>
      <x:c r="N204" s="61" t="n">
        <x:f>IF(OR(H204="",E204=0),"",K204/E204)</x:f>
        <x:v>0.6405500184569952</x:v>
      </x:c>
    </x:row>
    <x:row r="205">
      <x:c r="A205" s="28" t="n">
        <x:v>40826</x:v>
      </x:c>
      <x:c r="B205" s="23" t="n">
        <x:v>45</x:v>
      </x:c>
      <x:c r="C205" s="23" t="str">
        <x:v>85099B</x:v>
      </x:c>
      <x:c r="D205" s="23" t="str">
        <x:v>JUMBO BAG RED RETROSPOT</x:v>
      </x:c>
      <x:c r="E205" s="34" t="n">
        <x:v>947</x:v>
      </x:c>
      <x:c r="F205" s="55" t="n">
        <x:v>1886.66</x:v>
      </x:c>
      <x:c r="G205" s="58" t="n">
        <x:f>E204</x:f>
        <x:v>2709</x:v>
      </x:c>
      <x:c r="H205" s="58" t="n">
        <x:f>AVERAGE(E201:E204)</x:f>
        <x:v>1512</x:v>
      </x:c>
      <x:c r="I205" s="58" t="n">
        <x:f>AVERAGE(E197:E204)</x:f>
        <x:v>1274.375</x:v>
      </x:c>
      <x:c r="J205" s="58" t="n">
        <x:f>IF(G205="","",ABS(E205-G205))</x:f>
        <x:v>1762</x:v>
      </x:c>
      <x:c r="K205" s="58" t="n">
        <x:f>IF(H205="","",ABS(E205-H205))</x:f>
        <x:v>565</x:v>
      </x:c>
      <x:c r="L205" s="58" t="n">
        <x:f>IF(I205="","",ABS(E205-I205))</x:f>
        <x:v>327.375</x:v>
      </x:c>
      <x:c r="M205" s="23" t="str">
        <x:f>IF(B205&gt;44,"Validation","Training")</x:f>
        <x:v>Validation</x:v>
      </x:c>
      <x:c r="N205" s="61" t="n">
        <x:f>IF(OR(H205="",E205=0),"",K205/E205)</x:f>
        <x:v>0.5966209081309398</x:v>
      </x:c>
    </x:row>
    <x:row r="206">
      <x:c r="A206" s="28" t="n">
        <x:v>40833</x:v>
      </x:c>
      <x:c r="B206" s="23" t="n">
        <x:v>46</x:v>
      </x:c>
      <x:c r="C206" s="23" t="str">
        <x:v>85099B</x:v>
      </x:c>
      <x:c r="D206" s="23" t="str">
        <x:v>JUMBO BAG RED RETROSPOT</x:v>
      </x:c>
      <x:c r="E206" s="34" t="n">
        <x:v>1045</x:v>
      </x:c>
      <x:c r="F206" s="55" t="n">
        <x:v>2021.85</x:v>
      </x:c>
      <x:c r="G206" s="58" t="n">
        <x:f>E205</x:f>
        <x:v>947</x:v>
      </x:c>
      <x:c r="H206" s="58" t="n">
        <x:f>AVERAGE(E202:E205)</x:f>
        <x:v>1563</x:v>
      </x:c>
      <x:c r="I206" s="58" t="n">
        <x:f>AVERAGE(E198:E205)</x:f>
        <x:v>1223.25</x:v>
      </x:c>
      <x:c r="J206" s="58" t="n">
        <x:f>IF(G206="","",ABS(E206-G206))</x:f>
        <x:v>98</x:v>
      </x:c>
      <x:c r="K206" s="58" t="n">
        <x:f>IF(H206="","",ABS(E206-H206))</x:f>
        <x:v>518</x:v>
      </x:c>
      <x:c r="L206" s="58" t="n">
        <x:f>IF(I206="","",ABS(E206-I206))</x:f>
        <x:v>178.25</x:v>
      </x:c>
      <x:c r="M206" s="23" t="str">
        <x:f>IF(B206&gt;44,"Validation","Training")</x:f>
        <x:v>Validation</x:v>
      </x:c>
      <x:c r="N206" s="61" t="n">
        <x:f>IF(OR(H206="",E206=0),"",K206/E206)</x:f>
        <x:v>0.49569377990430624</x:v>
      </x:c>
    </x:row>
    <x:row r="207">
      <x:c r="A207" s="28" t="n">
        <x:v>40840</x:v>
      </x:c>
      <x:c r="B207" s="23" t="n">
        <x:v>47</x:v>
      </x:c>
      <x:c r="C207" s="23" t="str">
        <x:v>85099B</x:v>
      </x:c>
      <x:c r="D207" s="23" t="str">
        <x:v>JUMBO BAG RED RETROSPOT</x:v>
      </x:c>
      <x:c r="E207" s="34" t="n">
        <x:v>600</x:v>
      </x:c>
      <x:c r="F207" s="55" t="n">
        <x:v>1238.9</x:v>
      </x:c>
      <x:c r="G207" s="58" t="n">
        <x:f>E206</x:f>
        <x:v>1045</x:v>
      </x:c>
      <x:c r="H207" s="58" t="n">
        <x:f>AVERAGE(E203:E206)</x:f>
        <x:v>1407.5</x:v>
      </x:c>
      <x:c r="I207" s="58" t="n">
        <x:f>AVERAGE(E199:E206)</x:f>
        <x:v>1164.125</x:v>
      </x:c>
      <x:c r="J207" s="58" t="n">
        <x:f>IF(G207="","",ABS(E207-G207))</x:f>
        <x:v>445</x:v>
      </x:c>
      <x:c r="K207" s="58" t="n">
        <x:f>IF(H207="","",ABS(E207-H207))</x:f>
        <x:v>807.5</x:v>
      </x:c>
      <x:c r="L207" s="58" t="n">
        <x:f>IF(I207="","",ABS(E207-I207))</x:f>
        <x:v>564.125</x:v>
      </x:c>
      <x:c r="M207" s="23" t="str">
        <x:f>IF(B207&gt;44,"Validation","Training")</x:f>
        <x:v>Validation</x:v>
      </x:c>
      <x:c r="N207" s="61" t="n">
        <x:f>IF(OR(H207="",E207=0),"",K207/E207)</x:f>
        <x:v>1.3458333333333334</x:v>
      </x:c>
    </x:row>
    <x:row r="208">
      <x:c r="A208" s="28" t="n">
        <x:v>40847</x:v>
      </x:c>
      <x:c r="B208" s="23" t="n">
        <x:v>48</x:v>
      </x:c>
      <x:c r="C208" s="23" t="str">
        <x:v>85099B</x:v>
      </x:c>
      <x:c r="D208" s="23" t="str">
        <x:v>JUMBO BAG RED RETROSPOT</x:v>
      </x:c>
      <x:c r="E208" s="34" t="n">
        <x:v>1063</x:v>
      </x:c>
      <x:c r="F208" s="55" t="n">
        <x:v>2146.24</x:v>
      </x:c>
      <x:c r="G208" s="58" t="n">
        <x:f>E207</x:f>
        <x:v>600</x:v>
      </x:c>
      <x:c r="H208" s="58" t="n">
        <x:f>AVERAGE(E204:E207)</x:f>
        <x:v>1325.25</x:v>
      </x:c>
      <x:c r="I208" s="58" t="n">
        <x:f>AVERAGE(E200:E207)</x:f>
        <x:v>1149.5</x:v>
      </x:c>
      <x:c r="J208" s="58" t="n">
        <x:f>IF(G208="","",ABS(E208-G208))</x:f>
        <x:v>463</x:v>
      </x:c>
      <x:c r="K208" s="58" t="n">
        <x:f>IF(H208="","",ABS(E208-H208))</x:f>
        <x:v>262.25</x:v>
      </x:c>
      <x:c r="L208" s="58" t="n">
        <x:f>IF(I208="","",ABS(E208-I208))</x:f>
        <x:v>86.5</x:v>
      </x:c>
      <x:c r="M208" s="23" t="str">
        <x:f>IF(B208&gt;44,"Validation","Training")</x:f>
        <x:v>Validation</x:v>
      </x:c>
      <x:c r="N208" s="61" t="n">
        <x:f>IF(OR(H208="",E208=0),"",K208/E208)</x:f>
        <x:v>0.24670743179680152</x:v>
      </x:c>
    </x:row>
    <x:row r="209">
      <x:c r="A209" s="28" t="n">
        <x:v>40854</x:v>
      </x:c>
      <x:c r="B209" s="23" t="n">
        <x:v>49</x:v>
      </x:c>
      <x:c r="C209" s="23" t="str">
        <x:v>85099B</x:v>
      </x:c>
      <x:c r="D209" s="23" t="str">
        <x:v>JUMBO BAG RED RETROSPOT</x:v>
      </x:c>
      <x:c r="E209" s="34" t="n">
        <x:v>2200</x:v>
      </x:c>
      <x:c r="F209" s="55" t="n">
        <x:v>4228.85</x:v>
      </x:c>
      <x:c r="G209" s="58" t="n">
        <x:f>E208</x:f>
        <x:v>1063</x:v>
      </x:c>
      <x:c r="H209" s="58" t="n">
        <x:f>AVERAGE(E205:E208)</x:f>
        <x:v>913.75</x:v>
      </x:c>
      <x:c r="I209" s="58" t="n">
        <x:f>AVERAGE(E201:E208)</x:f>
        <x:v>1212.875</x:v>
      </x:c>
      <x:c r="J209" s="58" t="n">
        <x:f>IF(G209="","",ABS(E209-G209))</x:f>
        <x:v>1137</x:v>
      </x:c>
      <x:c r="K209" s="58" t="n">
        <x:f>IF(H209="","",ABS(E209-H209))</x:f>
        <x:v>1286.25</x:v>
      </x:c>
      <x:c r="L209" s="58" t="n">
        <x:f>IF(I209="","",ABS(E209-I209))</x:f>
        <x:v>987.125</x:v>
      </x:c>
      <x:c r="M209" s="23" t="str">
        <x:f>IF(B209&gt;44,"Validation","Training")</x:f>
        <x:v>Validation</x:v>
      </x:c>
      <x:c r="N209" s="61" t="n">
        <x:f>IF(OR(H209="",E209=0),"",K209/E209)</x:f>
        <x:v>0.584659090909091</x:v>
      </x:c>
    </x:row>
    <x:row r="210">
      <x:c r="A210" s="28" t="n">
        <x:v>40861</x:v>
      </x:c>
      <x:c r="B210" s="23" t="n">
        <x:v>50</x:v>
      </x:c>
      <x:c r="C210" s="23" t="str">
        <x:v>85099B</x:v>
      </x:c>
      <x:c r="D210" s="23" t="str">
        <x:v>JUMBO BAG RED RETROSPOT</x:v>
      </x:c>
      <x:c r="E210" s="34" t="n">
        <x:v>1602</x:v>
      </x:c>
      <x:c r="F210" s="55" t="n">
        <x:v>3102.01</x:v>
      </x:c>
      <x:c r="G210" s="58" t="n">
        <x:f>E209</x:f>
        <x:v>2200</x:v>
      </x:c>
      <x:c r="H210" s="58" t="n">
        <x:f>AVERAGE(E206:E209)</x:f>
        <x:v>1227</x:v>
      </x:c>
      <x:c r="I210" s="58" t="n">
        <x:f>AVERAGE(E202:E209)</x:f>
        <x:v>1395</x:v>
      </x:c>
      <x:c r="J210" s="58" t="n">
        <x:f>IF(G210="","",ABS(E210-G210))</x:f>
        <x:v>598</x:v>
      </x:c>
      <x:c r="K210" s="58" t="n">
        <x:f>IF(H210="","",ABS(E210-H210))</x:f>
        <x:v>375</x:v>
      </x:c>
      <x:c r="L210" s="58" t="n">
        <x:f>IF(I210="","",ABS(E210-I210))</x:f>
        <x:v>207</x:v>
      </x:c>
      <x:c r="M210" s="23" t="str">
        <x:f>IF(B210&gt;44,"Validation","Training")</x:f>
        <x:v>Validation</x:v>
      </x:c>
      <x:c r="N210" s="61" t="n">
        <x:f>IF(OR(H210="",E210=0),"",K210/E210)</x:f>
        <x:v>0.2340823970037453</x:v>
      </x:c>
    </x:row>
    <x:row r="211">
      <x:c r="A211" s="28" t="n">
        <x:v>40868</x:v>
      </x:c>
      <x:c r="B211" s="23" t="n">
        <x:v>51</x:v>
      </x:c>
      <x:c r="C211" s="23" t="str">
        <x:v>85099B</x:v>
      </x:c>
      <x:c r="D211" s="23" t="str">
        <x:v>JUMBO BAG RED RETROSPOT</x:v>
      </x:c>
      <x:c r="E211" s="34" t="n">
        <x:v>753</x:v>
      </x:c>
      <x:c r="F211" s="55" t="n">
        <x:v>1581.84</x:v>
      </x:c>
      <x:c r="G211" s="58" t="n">
        <x:f>E210</x:f>
        <x:v>1602</x:v>
      </x:c>
      <x:c r="H211" s="58" t="n">
        <x:f>AVERAGE(E207:E210)</x:f>
        <x:v>1366.25</x:v>
      </x:c>
      <x:c r="I211" s="58" t="n">
        <x:f>AVERAGE(E203:E210)</x:f>
        <x:v>1386.875</x:v>
      </x:c>
      <x:c r="J211" s="58" t="n">
        <x:f>IF(G211="","",ABS(E211-G211))</x:f>
        <x:v>849</x:v>
      </x:c>
      <x:c r="K211" s="58" t="n">
        <x:f>IF(H211="","",ABS(E211-H211))</x:f>
        <x:v>613.25</x:v>
      </x:c>
      <x:c r="L211" s="58" t="n">
        <x:f>IF(I211="","",ABS(E211-I211))</x:f>
        <x:v>633.875</x:v>
      </x:c>
      <x:c r="M211" s="23" t="str">
        <x:f>IF(B211&gt;44,"Validation","Training")</x:f>
        <x:v>Validation</x:v>
      </x:c>
      <x:c r="N211" s="61" t="n">
        <x:f>IF(OR(H211="",E211=0),"",K211/E211)</x:f>
        <x:v>0.8144090305444888</x:v>
      </x:c>
    </x:row>
    <x:row r="212">
      <x:c r="A212" s="28" t="n">
        <x:v>40875</x:v>
      </x:c>
      <x:c r="B212" s="23" t="n">
        <x:v>52</x:v>
      </x:c>
      <x:c r="C212" s="23" t="str">
        <x:v>85099B</x:v>
      </x:c>
      <x:c r="D212" s="23" t="str">
        <x:v>JUMBO BAG RED RETROSPOT</x:v>
      </x:c>
      <x:c r="E212" s="34" t="n">
        <x:v>1050</x:v>
      </x:c>
      <x:c r="F212" s="55" t="n">
        <x:v>2126.85</x:v>
      </x:c>
      <x:c r="G212" s="58" t="n">
        <x:f>E211</x:f>
        <x:v>753</x:v>
      </x:c>
      <x:c r="H212" s="58" t="n">
        <x:f>AVERAGE(E208:E211)</x:f>
        <x:v>1404.5</x:v>
      </x:c>
      <x:c r="I212" s="58" t="n">
        <x:f>AVERAGE(E204:E211)</x:f>
        <x:v>1364.875</x:v>
      </x:c>
      <x:c r="J212" s="58" t="n">
        <x:f>IF(G212="","",ABS(E212-G212))</x:f>
        <x:v>297</x:v>
      </x:c>
      <x:c r="K212" s="58" t="n">
        <x:f>IF(H212="","",ABS(E212-H212))</x:f>
        <x:v>354.5</x:v>
      </x:c>
      <x:c r="L212" s="58" t="n">
        <x:f>IF(I212="","",ABS(E212-I212))</x:f>
        <x:v>314.875</x:v>
      </x:c>
      <x:c r="M212" s="23" t="str">
        <x:f>IF(B212&gt;44,"Validation","Training")</x:f>
        <x:v>Validation</x:v>
      </x:c>
      <x:c r="N212" s="61" t="n">
        <x:f>IF(OR(H212="",E212=0),"",K212/E212)</x:f>
        <x:v>0.3376190476190476</x:v>
      </x:c>
    </x:row>
    <x:row r="213">
      <x:c r="A213" s="28" t="n">
        <x:v>40518</x:v>
      </x:c>
      <x:c r="B213" s="23" t="n">
        <x:v>1</x:v>
      </x:c>
      <x:c r="C213" s="23" t="str">
        <x:v>23166</x:v>
      </x:c>
      <x:c r="D213" s="23" t="str">
        <x:v>MEDIUM CERAMIC TOP STORAGE JAR</x:v>
      </x:c>
      <x:c r="E213" s="34" t="n">
        <x:v>0</x:v>
      </x:c>
      <x:c r="F213" s="55" t="n">
        <x:v>0</x:v>
      </x:c>
      <x:c r="G213" s="58" t="str">
        <x:f>""</x:f>
      </x:c>
      <x:c r="H213" s="58" t="str">
        <x:f>""</x:f>
      </x:c>
      <x:c r="I213" s="58" t="str">
        <x:f>""</x:f>
      </x:c>
      <x:c r="J213" s="58" t="str">
        <x:f>IF(G213="","",ABS(E213-G213))</x:f>
      </x:c>
      <x:c r="K213" s="58" t="str">
        <x:f>IF(H213="","",ABS(E213-H213))</x:f>
      </x:c>
      <x:c r="L213" s="58" t="str">
        <x:f>IF(I213="","",ABS(E213-I213))</x:f>
      </x:c>
      <x:c r="M213" s="23" t="str">
        <x:f>IF(B213&gt;44,"Validation","Training")</x:f>
        <x:v>Training</x:v>
      </x:c>
      <x:c r="N213" s="61" t="str">
        <x:f>IF(OR(H213="",E213=0),"",K213/E213)</x:f>
      </x:c>
    </x:row>
    <x:row r="214">
      <x:c r="A214" s="28" t="n">
        <x:v>40525</x:v>
      </x:c>
      <x:c r="B214" s="23" t="n">
        <x:v>2</x:v>
      </x:c>
      <x:c r="C214" s="23" t="str">
        <x:v>23166</x:v>
      </x:c>
      <x:c r="D214" s="23" t="str">
        <x:v>MEDIUM CERAMIC TOP STORAGE JAR</x:v>
      </x:c>
      <x:c r="E214" s="34" t="n">
        <x:v>0</x:v>
      </x:c>
      <x:c r="F214" s="55" t="n">
        <x:v>0</x:v>
      </x:c>
      <x:c r="G214" s="58" t="n">
        <x:f>E213</x:f>
        <x:v>0</x:v>
      </x:c>
      <x:c r="H214" s="58" t="str">
        <x:f>""</x:f>
      </x:c>
      <x:c r="I214" s="58" t="str">
        <x:f>""</x:f>
      </x:c>
      <x:c r="J214" s="58" t="str">
        <x:f>IF(G214="","",ABS(E214-G214))</x:f>
      </x:c>
      <x:c r="K214" s="58" t="str">
        <x:f>IF(H214="","",ABS(E214-H214))</x:f>
      </x:c>
      <x:c r="L214" s="58" t="str">
        <x:f>IF(I214="","",ABS(E214-I214))</x:f>
      </x:c>
      <x:c r="M214" s="23" t="str">
        <x:f>IF(B214&gt;44,"Validation","Training")</x:f>
        <x:v>Training</x:v>
      </x:c>
      <x:c r="N214" s="61" t="str">
        <x:f>IF(OR(H214="",E214=0),"",K214/E214)</x:f>
      </x:c>
    </x:row>
    <x:row r="215">
      <x:c r="A215" s="28" t="n">
        <x:v>40532</x:v>
      </x:c>
      <x:c r="B215" s="23" t="n">
        <x:v>3</x:v>
      </x:c>
      <x:c r="C215" s="23" t="str">
        <x:v>23166</x:v>
      </x:c>
      <x:c r="D215" s="23" t="str">
        <x:v>MEDIUM CERAMIC TOP STORAGE JAR</x:v>
      </x:c>
      <x:c r="E215" s="34" t="n">
        <x:v>0</x:v>
      </x:c>
      <x:c r="F215" s="55" t="n">
        <x:v>0</x:v>
      </x:c>
      <x:c r="G215" s="58" t="n">
        <x:f>E214</x:f>
        <x:v>0</x:v>
      </x:c>
      <x:c r="H215" s="58" t="str">
        <x:f>""</x:f>
      </x:c>
      <x:c r="I215" s="58" t="str">
        <x:f>""</x:f>
      </x:c>
      <x:c r="J215" s="58" t="str">
        <x:f>IF(G215="","",ABS(E215-G215))</x:f>
      </x:c>
      <x:c r="K215" s="58" t="str">
        <x:f>IF(H215="","",ABS(E215-H215))</x:f>
      </x:c>
      <x:c r="L215" s="58" t="str">
        <x:f>IF(I215="","",ABS(E215-I215))</x:f>
      </x:c>
      <x:c r="M215" s="23" t="str">
        <x:f>IF(B215&gt;44,"Validation","Training")</x:f>
        <x:v>Training</x:v>
      </x:c>
      <x:c r="N215" s="61" t="str">
        <x:f>IF(OR(H215="",E215=0),"",K215/E215)</x:f>
      </x:c>
    </x:row>
    <x:row r="216">
      <x:c r="A216" s="28" t="n">
        <x:v>40539</x:v>
      </x:c>
      <x:c r="B216" s="23" t="n">
        <x:v>4</x:v>
      </x:c>
      <x:c r="C216" s="23" t="str">
        <x:v>23166</x:v>
      </x:c>
      <x:c r="D216" s="23" t="str">
        <x:v>MEDIUM CERAMIC TOP STORAGE JAR</x:v>
      </x:c>
      <x:c r="E216" s="34" t="n">
        <x:v>0</x:v>
      </x:c>
      <x:c r="F216" s="55" t="n">
        <x:v>0</x:v>
      </x:c>
      <x:c r="G216" s="58" t="n">
        <x:f>E215</x:f>
        <x:v>0</x:v>
      </x:c>
      <x:c r="H216" s="58" t="str">
        <x:f>""</x:f>
      </x:c>
      <x:c r="I216" s="58" t="str">
        <x:f>""</x:f>
      </x:c>
      <x:c r="J216" s="58" t="str">
        <x:f>IF(G216="","",ABS(E216-G216))</x:f>
      </x:c>
      <x:c r="K216" s="58" t="str">
        <x:f>IF(H216="","",ABS(E216-H216))</x:f>
      </x:c>
      <x:c r="L216" s="58" t="str">
        <x:f>IF(I216="","",ABS(E216-I216))</x:f>
      </x:c>
      <x:c r="M216" s="23" t="str">
        <x:f>IF(B216&gt;44,"Validation","Training")</x:f>
        <x:v>Training</x:v>
      </x:c>
      <x:c r="N216" s="61" t="str">
        <x:f>IF(OR(H216="",E216=0),"",K216/E216)</x:f>
      </x:c>
    </x:row>
    <x:row r="217">
      <x:c r="A217" s="28" t="n">
        <x:v>40546</x:v>
      </x:c>
      <x:c r="B217" s="23" t="n">
        <x:v>5</x:v>
      </x:c>
      <x:c r="C217" s="23" t="str">
        <x:v>23166</x:v>
      </x:c>
      <x:c r="D217" s="23" t="str">
        <x:v>MEDIUM CERAMIC TOP STORAGE JAR</x:v>
      </x:c>
      <x:c r="E217" s="34" t="n">
        <x:v>0</x:v>
      </x:c>
      <x:c r="F217" s="55" t="n">
        <x:v>0</x:v>
      </x:c>
      <x:c r="G217" s="58" t="n">
        <x:f>E216</x:f>
        <x:v>0</x:v>
      </x:c>
      <x:c r="H217" s="58" t="n">
        <x:f>AVERAGE(E213:E216)</x:f>
        <x:v>0</x:v>
      </x:c>
      <x:c r="I217" s="58" t="str">
        <x:f>""</x:f>
      </x:c>
      <x:c r="J217" s="58" t="str">
        <x:f>IF(G217="","",ABS(E217-G217))</x:f>
      </x:c>
      <x:c r="K217" s="58" t="str">
        <x:f>IF(H217="","",ABS(E217-H217))</x:f>
      </x:c>
      <x:c r="L217" s="58" t="str">
        <x:f>IF(I217="","",ABS(E217-I217))</x:f>
      </x:c>
      <x:c r="M217" s="23" t="str">
        <x:f>IF(B217&gt;44,"Validation","Training")</x:f>
        <x:v>Training</x:v>
      </x:c>
      <x:c r="N217" s="61" t="str">
        <x:f>IF(OR(H217="",E217=0),"",K217/E217)</x:f>
      </x:c>
    </x:row>
    <x:row r="218">
      <x:c r="A218" s="28" t="n">
        <x:v>40553</x:v>
      </x:c>
      <x:c r="B218" s="23" t="n">
        <x:v>6</x:v>
      </x:c>
      <x:c r="C218" s="23" t="str">
        <x:v>23166</x:v>
      </x:c>
      <x:c r="D218" s="23" t="str">
        <x:v>MEDIUM CERAMIC TOP STORAGE JAR</x:v>
      </x:c>
      <x:c r="E218" s="34" t="n">
        <x:v>0</x:v>
      </x:c>
      <x:c r="F218" s="55" t="n">
        <x:v>0</x:v>
      </x:c>
      <x:c r="G218" s="58" t="n">
        <x:f>E217</x:f>
        <x:v>0</x:v>
      </x:c>
      <x:c r="H218" s="58" t="n">
        <x:f>AVERAGE(E214:E217)</x:f>
        <x:v>0</x:v>
      </x:c>
      <x:c r="I218" s="58" t="str">
        <x:f>""</x:f>
      </x:c>
      <x:c r="J218" s="58" t="str">
        <x:f>IF(G218="","",ABS(E218-G218))</x:f>
      </x:c>
      <x:c r="K218" s="58" t="str">
        <x:f>IF(H218="","",ABS(E218-H218))</x:f>
      </x:c>
      <x:c r="L218" s="58" t="str">
        <x:f>IF(I218="","",ABS(E218-I218))</x:f>
      </x:c>
      <x:c r="M218" s="23" t="str">
        <x:f>IF(B218&gt;44,"Validation","Training")</x:f>
        <x:v>Training</x:v>
      </x:c>
      <x:c r="N218" s="61" t="str">
        <x:f>IF(OR(H218="",E218=0),"",K218/E218)</x:f>
      </x:c>
    </x:row>
    <x:row r="219">
      <x:c r="A219" s="28" t="n">
        <x:v>40560</x:v>
      </x:c>
      <x:c r="B219" s="23" t="n">
        <x:v>7</x:v>
      </x:c>
      <x:c r="C219" s="23" t="str">
        <x:v>23166</x:v>
      </x:c>
      <x:c r="D219" s="23" t="str">
        <x:v>MEDIUM CERAMIC TOP STORAGE JAR</x:v>
      </x:c>
      <x:c r="E219" s="34" t="n">
        <x:v>74215</x:v>
      </x:c>
      <x:c r="F219" s="55" t="n">
        <x:v>77183.6</x:v>
      </x:c>
      <x:c r="G219" s="58" t="n">
        <x:f>E218</x:f>
        <x:v>0</x:v>
      </x:c>
      <x:c r="H219" s="58" t="n">
        <x:f>AVERAGE(E215:E218)</x:f>
        <x:v>0</x:v>
      </x:c>
      <x:c r="I219" s="58" t="str">
        <x:f>""</x:f>
      </x:c>
      <x:c r="J219" s="58" t="str">
        <x:f>IF(G219="","",ABS(E219-G219))</x:f>
      </x:c>
      <x:c r="K219" s="58" t="str">
        <x:f>IF(H219="","",ABS(E219-H219))</x:f>
      </x:c>
      <x:c r="L219" s="58" t="str">
        <x:f>IF(I219="","",ABS(E219-I219))</x:f>
      </x:c>
      <x:c r="M219" s="23" t="str">
        <x:f>IF(B219&gt;44,"Validation","Training")</x:f>
        <x:v>Training</x:v>
      </x:c>
      <x:c r="N219" s="61" t="str">
        <x:f>IF(OR(H219="",E219=0),"",K219/E219)</x:f>
      </x:c>
    </x:row>
    <x:row r="220">
      <x:c r="A220" s="28" t="n">
        <x:v>40567</x:v>
      </x:c>
      <x:c r="B220" s="23" t="n">
        <x:v>8</x:v>
      </x:c>
      <x:c r="C220" s="23" t="str">
        <x:v>23166</x:v>
      </x:c>
      <x:c r="D220" s="23" t="str">
        <x:v>MEDIUM CERAMIC TOP STORAGE JAR</x:v>
      </x:c>
      <x:c r="E220" s="34" t="n">
        <x:v>0</x:v>
      </x:c>
      <x:c r="F220" s="55" t="n">
        <x:v>0</x:v>
      </x:c>
      <x:c r="G220" s="58" t="n">
        <x:f>E219</x:f>
        <x:v>74215</x:v>
      </x:c>
      <x:c r="H220" s="58" t="n">
        <x:f>AVERAGE(E216:E219)</x:f>
        <x:v>18553.75</x:v>
      </x:c>
      <x:c r="I220" s="58" t="str">
        <x:f>""</x:f>
      </x:c>
      <x:c r="J220" s="58" t="n">
        <x:f>IF(G220="","",ABS(E220-G220))</x:f>
        <x:v>74215</x:v>
      </x:c>
      <x:c r="K220" s="58" t="n">
        <x:f>IF(H220="","",ABS(E220-H220))</x:f>
        <x:v>18553.75</x:v>
      </x:c>
      <x:c r="L220" s="58" t="str">
        <x:f>IF(I220="","",ABS(E220-I220))</x:f>
      </x:c>
      <x:c r="M220" s="23" t="str">
        <x:f>IF(B220&gt;44,"Validation","Training")</x:f>
        <x:v>Training</x:v>
      </x:c>
      <x:c r="N220" s="61" t="str">
        <x:f>IF(OR(H220="",E220=0),"",K220/E220)</x:f>
      </x:c>
    </x:row>
    <x:row r="221">
      <x:c r="A221" s="28" t="n">
        <x:v>40574</x:v>
      </x:c>
      <x:c r="B221" s="23" t="n">
        <x:v>9</x:v>
      </x:c>
      <x:c r="C221" s="23" t="str">
        <x:v>23166</x:v>
      </x:c>
      <x:c r="D221" s="23" t="str">
        <x:v>MEDIUM CERAMIC TOP STORAGE JAR</x:v>
      </x:c>
      <x:c r="E221" s="34" t="n">
        <x:v>0</x:v>
      </x:c>
      <x:c r="F221" s="55" t="n">
        <x:v>0</x:v>
      </x:c>
      <x:c r="G221" s="58" t="n">
        <x:f>E220</x:f>
        <x:v>0</x:v>
      </x:c>
      <x:c r="H221" s="58" t="n">
        <x:f>AVERAGE(E217:E220)</x:f>
        <x:v>18553.75</x:v>
      </x:c>
      <x:c r="I221" s="58" t="n">
        <x:f>AVERAGE(E213:E220)</x:f>
        <x:v>9276.875</x:v>
      </x:c>
      <x:c r="J221" s="58" t="str">
        <x:f>IF(G221="","",ABS(E221-G221))</x:f>
      </x:c>
      <x:c r="K221" s="58" t="n">
        <x:f>IF(H221="","",ABS(E221-H221))</x:f>
        <x:v>18553.75</x:v>
      </x:c>
      <x:c r="L221" s="58" t="n">
        <x:f>IF(I221="","",ABS(E221-I221))</x:f>
        <x:v>9276.875</x:v>
      </x:c>
      <x:c r="M221" s="23" t="str">
        <x:f>IF(B221&gt;44,"Validation","Training")</x:f>
        <x:v>Training</x:v>
      </x:c>
      <x:c r="N221" s="61" t="str">
        <x:f>IF(OR(H221="",E221=0),"",K221/E221)</x:f>
      </x:c>
    </x:row>
    <x:row r="222">
      <x:c r="A222" s="28" t="n">
        <x:v>40581</x:v>
      </x:c>
      <x:c r="B222" s="23" t="n">
        <x:v>10</x:v>
      </x:c>
      <x:c r="C222" s="23" t="str">
        <x:v>23166</x:v>
      </x:c>
      <x:c r="D222" s="23" t="str">
        <x:v>MEDIUM CERAMIC TOP STORAGE JAR</x:v>
      </x:c>
      <x:c r="E222" s="34" t="n">
        <x:v>0</x:v>
      </x:c>
      <x:c r="F222" s="55" t="n">
        <x:v>0</x:v>
      </x:c>
      <x:c r="G222" s="58" t="n">
        <x:f>E221</x:f>
        <x:v>0</x:v>
      </x:c>
      <x:c r="H222" s="58" t="n">
        <x:f>AVERAGE(E218:E221)</x:f>
        <x:v>18553.75</x:v>
      </x:c>
      <x:c r="I222" s="58" t="n">
        <x:f>AVERAGE(E214:E221)</x:f>
        <x:v>9276.875</x:v>
      </x:c>
      <x:c r="J222" s="58" t="str">
        <x:f>IF(G222="","",ABS(E222-G222))</x:f>
      </x:c>
      <x:c r="K222" s="58" t="n">
        <x:f>IF(H222="","",ABS(E222-H222))</x:f>
        <x:v>18553.75</x:v>
      </x:c>
      <x:c r="L222" s="58" t="n">
        <x:f>IF(I222="","",ABS(E222-I222))</x:f>
        <x:v>9276.875</x:v>
      </x:c>
      <x:c r="M222" s="23" t="str">
        <x:f>IF(B222&gt;44,"Validation","Training")</x:f>
        <x:v>Training</x:v>
      </x:c>
      <x:c r="N222" s="61" t="str">
        <x:f>IF(OR(H222="",E222=0),"",K222/E222)</x:f>
      </x:c>
    </x:row>
    <x:row r="223">
      <x:c r="A223" s="28" t="n">
        <x:v>40588</x:v>
      </x:c>
      <x:c r="B223" s="23" t="n">
        <x:v>11</x:v>
      </x:c>
      <x:c r="C223" s="23" t="str">
        <x:v>23166</x:v>
      </x:c>
      <x:c r="D223" s="23" t="str">
        <x:v>MEDIUM CERAMIC TOP STORAGE JAR</x:v>
      </x:c>
      <x:c r="E223" s="34" t="n">
        <x:v>0</x:v>
      </x:c>
      <x:c r="F223" s="55" t="n">
        <x:v>0</x:v>
      </x:c>
      <x:c r="G223" s="58" t="n">
        <x:f>E222</x:f>
        <x:v>0</x:v>
      </x:c>
      <x:c r="H223" s="58" t="n">
        <x:f>AVERAGE(E219:E222)</x:f>
        <x:v>18553.75</x:v>
      </x:c>
      <x:c r="I223" s="58" t="n">
        <x:f>AVERAGE(E215:E222)</x:f>
        <x:v>9276.875</x:v>
      </x:c>
      <x:c r="J223" s="58" t="str">
        <x:f>IF(G223="","",ABS(E223-G223))</x:f>
      </x:c>
      <x:c r="K223" s="58" t="n">
        <x:f>IF(H223="","",ABS(E223-H223))</x:f>
        <x:v>18553.75</x:v>
      </x:c>
      <x:c r="L223" s="58" t="n">
        <x:f>IF(I223="","",ABS(E223-I223))</x:f>
        <x:v>9276.875</x:v>
      </x:c>
      <x:c r="M223" s="23" t="str">
        <x:f>IF(B223&gt;44,"Validation","Training")</x:f>
        <x:v>Training</x:v>
      </x:c>
      <x:c r="N223" s="61" t="str">
        <x:f>IF(OR(H223="",E223=0),"",K223/E223)</x:f>
      </x:c>
    </x:row>
    <x:row r="224">
      <x:c r="A224" s="28" t="n">
        <x:v>40595</x:v>
      </x:c>
      <x:c r="B224" s="23" t="n">
        <x:v>12</x:v>
      </x:c>
      <x:c r="C224" s="23" t="str">
        <x:v>23166</x:v>
      </x:c>
      <x:c r="D224" s="23" t="str">
        <x:v>MEDIUM CERAMIC TOP STORAGE JAR</x:v>
      </x:c>
      <x:c r="E224" s="34" t="n">
        <x:v>0</x:v>
      </x:c>
      <x:c r="F224" s="55" t="n">
        <x:v>0</x:v>
      </x:c>
      <x:c r="G224" s="58" t="n">
        <x:f>E223</x:f>
        <x:v>0</x:v>
      </x:c>
      <x:c r="H224" s="58" t="n">
        <x:f>AVERAGE(E220:E223)</x:f>
        <x:v>0</x:v>
      </x:c>
      <x:c r="I224" s="58" t="n">
        <x:f>AVERAGE(E216:E223)</x:f>
        <x:v>9276.875</x:v>
      </x:c>
      <x:c r="J224" s="58" t="str">
        <x:f>IF(G224="","",ABS(E224-G224))</x:f>
      </x:c>
      <x:c r="K224" s="58" t="str">
        <x:f>IF(H224="","",ABS(E224-H224))</x:f>
      </x:c>
      <x:c r="L224" s="58" t="n">
        <x:f>IF(I224="","",ABS(E224-I224))</x:f>
        <x:v>9276.875</x:v>
      </x:c>
      <x:c r="M224" s="23" t="str">
        <x:f>IF(B224&gt;44,"Validation","Training")</x:f>
        <x:v>Training</x:v>
      </x:c>
      <x:c r="N224" s="61" t="str">
        <x:f>IF(OR(H224="",E224=0),"",K224/E224)</x:f>
      </x:c>
    </x:row>
    <x:row r="225">
      <x:c r="A225" s="28" t="n">
        <x:v>40602</x:v>
      </x:c>
      <x:c r="B225" s="23" t="n">
        <x:v>13</x:v>
      </x:c>
      <x:c r="C225" s="23" t="str">
        <x:v>23166</x:v>
      </x:c>
      <x:c r="D225" s="23" t="str">
        <x:v>MEDIUM CERAMIC TOP STORAGE JAR</x:v>
      </x:c>
      <x:c r="E225" s="34" t="n">
        <x:v>0</x:v>
      </x:c>
      <x:c r="F225" s="55" t="n">
        <x:v>0</x:v>
      </x:c>
      <x:c r="G225" s="58" t="n">
        <x:f>E224</x:f>
        <x:v>0</x:v>
      </x:c>
      <x:c r="H225" s="58" t="n">
        <x:f>AVERAGE(E221:E224)</x:f>
        <x:v>0</x:v>
      </x:c>
      <x:c r="I225" s="58" t="n">
        <x:f>AVERAGE(E217:E224)</x:f>
        <x:v>9276.875</x:v>
      </x:c>
      <x:c r="J225" s="58" t="str">
        <x:f>IF(G225="","",ABS(E225-G225))</x:f>
      </x:c>
      <x:c r="K225" s="58" t="str">
        <x:f>IF(H225="","",ABS(E225-H225))</x:f>
      </x:c>
      <x:c r="L225" s="58" t="n">
        <x:f>IF(I225="","",ABS(E225-I225))</x:f>
        <x:v>9276.875</x:v>
      </x:c>
      <x:c r="M225" s="23" t="str">
        <x:f>IF(B225&gt;44,"Validation","Training")</x:f>
        <x:v>Training</x:v>
      </x:c>
      <x:c r="N225" s="61" t="str">
        <x:f>IF(OR(H225="",E225=0),"",K225/E225)</x:f>
      </x:c>
    </x:row>
    <x:row r="226">
      <x:c r="A226" s="28" t="n">
        <x:v>40609</x:v>
      </x:c>
      <x:c r="B226" s="23" t="n">
        <x:v>14</x:v>
      </x:c>
      <x:c r="C226" s="23" t="str">
        <x:v>23166</x:v>
      </x:c>
      <x:c r="D226" s="23" t="str">
        <x:v>MEDIUM CERAMIC TOP STORAGE JAR</x:v>
      </x:c>
      <x:c r="E226" s="34" t="n">
        <x:v>0</x:v>
      </x:c>
      <x:c r="F226" s="55" t="n">
        <x:v>0</x:v>
      </x:c>
      <x:c r="G226" s="58" t="n">
        <x:f>E225</x:f>
        <x:v>0</x:v>
      </x:c>
      <x:c r="H226" s="58" t="n">
        <x:f>AVERAGE(E222:E225)</x:f>
        <x:v>0</x:v>
      </x:c>
      <x:c r="I226" s="58" t="n">
        <x:f>AVERAGE(E218:E225)</x:f>
        <x:v>9276.875</x:v>
      </x:c>
      <x:c r="J226" s="58" t="str">
        <x:f>IF(G226="","",ABS(E226-G226))</x:f>
      </x:c>
      <x:c r="K226" s="58" t="str">
        <x:f>IF(H226="","",ABS(E226-H226))</x:f>
      </x:c>
      <x:c r="L226" s="58" t="n">
        <x:f>IF(I226="","",ABS(E226-I226))</x:f>
        <x:v>9276.875</x:v>
      </x:c>
      <x:c r="M226" s="23" t="str">
        <x:f>IF(B226&gt;44,"Validation","Training")</x:f>
        <x:v>Training</x:v>
      </x:c>
      <x:c r="N226" s="61" t="str">
        <x:f>IF(OR(H226="",E226=0),"",K226/E226)</x:f>
      </x:c>
    </x:row>
    <x:row r="227">
      <x:c r="A227" s="28" t="n">
        <x:v>40616</x:v>
      </x:c>
      <x:c r="B227" s="23" t="n">
        <x:v>15</x:v>
      </x:c>
      <x:c r="C227" s="23" t="str">
        <x:v>23166</x:v>
      </x:c>
      <x:c r="D227" s="23" t="str">
        <x:v>MEDIUM CERAMIC TOP STORAGE JAR</x:v>
      </x:c>
      <x:c r="E227" s="34" t="n">
        <x:v>0</x:v>
      </x:c>
      <x:c r="F227" s="55" t="n">
        <x:v>0</x:v>
      </x:c>
      <x:c r="G227" s="58" t="n">
        <x:f>E226</x:f>
        <x:v>0</x:v>
      </x:c>
      <x:c r="H227" s="58" t="n">
        <x:f>AVERAGE(E223:E226)</x:f>
        <x:v>0</x:v>
      </x:c>
      <x:c r="I227" s="58" t="n">
        <x:f>AVERAGE(E219:E226)</x:f>
        <x:v>9276.875</x:v>
      </x:c>
      <x:c r="J227" s="58" t="str">
        <x:f>IF(G227="","",ABS(E227-G227))</x:f>
      </x:c>
      <x:c r="K227" s="58" t="str">
        <x:f>IF(H227="","",ABS(E227-H227))</x:f>
      </x:c>
      <x:c r="L227" s="58" t="n">
        <x:f>IF(I227="","",ABS(E227-I227))</x:f>
        <x:v>9276.875</x:v>
      </x:c>
      <x:c r="M227" s="23" t="str">
        <x:f>IF(B227&gt;44,"Validation","Training")</x:f>
        <x:v>Training</x:v>
      </x:c>
      <x:c r="N227" s="61" t="str">
        <x:f>IF(OR(H227="",E227=0),"",K227/E227)</x:f>
      </x:c>
    </x:row>
    <x:row r="228">
      <x:c r="A228" s="28" t="n">
        <x:v>40623</x:v>
      </x:c>
      <x:c r="B228" s="23" t="n">
        <x:v>16</x:v>
      </x:c>
      <x:c r="C228" s="23" t="str">
        <x:v>23166</x:v>
      </x:c>
      <x:c r="D228" s="23" t="str">
        <x:v>MEDIUM CERAMIC TOP STORAGE JAR</x:v>
      </x:c>
      <x:c r="E228" s="34" t="n">
        <x:v>0</x:v>
      </x:c>
      <x:c r="F228" s="55" t="n">
        <x:v>0</x:v>
      </x:c>
      <x:c r="G228" s="58" t="n">
        <x:f>E227</x:f>
        <x:v>0</x:v>
      </x:c>
      <x:c r="H228" s="58" t="n">
        <x:f>AVERAGE(E224:E227)</x:f>
        <x:v>0</x:v>
      </x:c>
      <x:c r="I228" s="58" t="n">
        <x:f>AVERAGE(E220:E227)</x:f>
        <x:v>0</x:v>
      </x:c>
      <x:c r="J228" s="58" t="str">
        <x:f>IF(G228="","",ABS(E228-G228))</x:f>
      </x:c>
      <x:c r="K228" s="58" t="str">
        <x:f>IF(H228="","",ABS(E228-H228))</x:f>
      </x:c>
      <x:c r="L228" s="58" t="str">
        <x:f>IF(I228="","",ABS(E228-I228))</x:f>
      </x:c>
      <x:c r="M228" s="23" t="str">
        <x:f>IF(B228&gt;44,"Validation","Training")</x:f>
        <x:v>Training</x:v>
      </x:c>
      <x:c r="N228" s="61" t="str">
        <x:f>IF(OR(H228="",E228=0),"",K228/E228)</x:f>
      </x:c>
    </x:row>
    <x:row r="229">
      <x:c r="A229" s="28" t="n">
        <x:v>40630</x:v>
      </x:c>
      <x:c r="B229" s="23" t="n">
        <x:v>17</x:v>
      </x:c>
      <x:c r="C229" s="23" t="str">
        <x:v>23166</x:v>
      </x:c>
      <x:c r="D229" s="23" t="str">
        <x:v>MEDIUM CERAMIC TOP STORAGE JAR</x:v>
      </x:c>
      <x:c r="E229" s="34" t="n">
        <x:v>0</x:v>
      </x:c>
      <x:c r="F229" s="55" t="n">
        <x:v>0</x:v>
      </x:c>
      <x:c r="G229" s="58" t="n">
        <x:f>E228</x:f>
        <x:v>0</x:v>
      </x:c>
      <x:c r="H229" s="58" t="n">
        <x:f>AVERAGE(E225:E228)</x:f>
        <x:v>0</x:v>
      </x:c>
      <x:c r="I229" s="58" t="n">
        <x:f>AVERAGE(E221:E228)</x:f>
        <x:v>0</x:v>
      </x:c>
      <x:c r="J229" s="58" t="str">
        <x:f>IF(G229="","",ABS(E229-G229))</x:f>
      </x:c>
      <x:c r="K229" s="58" t="str">
        <x:f>IF(H229="","",ABS(E229-H229))</x:f>
      </x:c>
      <x:c r="L229" s="58" t="str">
        <x:f>IF(I229="","",ABS(E229-I229))</x:f>
      </x:c>
      <x:c r="M229" s="23" t="str">
        <x:f>IF(B229&gt;44,"Validation","Training")</x:f>
        <x:v>Training</x:v>
      </x:c>
      <x:c r="N229" s="61" t="str">
        <x:f>IF(OR(H229="",E229=0),"",K229/E229)</x:f>
      </x:c>
    </x:row>
    <x:row r="230">
      <x:c r="A230" s="28" t="n">
        <x:v>40637</x:v>
      </x:c>
      <x:c r="B230" s="23" t="n">
        <x:v>18</x:v>
      </x:c>
      <x:c r="C230" s="23" t="str">
        <x:v>23166</x:v>
      </x:c>
      <x:c r="D230" s="23" t="str">
        <x:v>MEDIUM CERAMIC TOP STORAGE JAR</x:v>
      </x:c>
      <x:c r="E230" s="34" t="n">
        <x:v>0</x:v>
      </x:c>
      <x:c r="F230" s="55" t="n">
        <x:v>0</x:v>
      </x:c>
      <x:c r="G230" s="58" t="n">
        <x:f>E229</x:f>
        <x:v>0</x:v>
      </x:c>
      <x:c r="H230" s="58" t="n">
        <x:f>AVERAGE(E226:E229)</x:f>
        <x:v>0</x:v>
      </x:c>
      <x:c r="I230" s="58" t="n">
        <x:f>AVERAGE(E222:E229)</x:f>
        <x:v>0</x:v>
      </x:c>
      <x:c r="J230" s="58" t="str">
        <x:f>IF(G230="","",ABS(E230-G230))</x:f>
      </x:c>
      <x:c r="K230" s="58" t="str">
        <x:f>IF(H230="","",ABS(E230-H230))</x:f>
      </x:c>
      <x:c r="L230" s="58" t="str">
        <x:f>IF(I230="","",ABS(E230-I230))</x:f>
      </x:c>
      <x:c r="M230" s="23" t="str">
        <x:f>IF(B230&gt;44,"Validation","Training")</x:f>
        <x:v>Training</x:v>
      </x:c>
      <x:c r="N230" s="61" t="str">
        <x:f>IF(OR(H230="",E230=0),"",K230/E230)</x:f>
      </x:c>
    </x:row>
    <x:row r="231">
      <x:c r="A231" s="28" t="n">
        <x:v>40644</x:v>
      </x:c>
      <x:c r="B231" s="23" t="n">
        <x:v>19</x:v>
      </x:c>
      <x:c r="C231" s="23" t="str">
        <x:v>23166</x:v>
      </x:c>
      <x:c r="D231" s="23" t="str">
        <x:v>MEDIUM CERAMIC TOP STORAGE JAR</x:v>
      </x:c>
      <x:c r="E231" s="34" t="n">
        <x:v>0</x:v>
      </x:c>
      <x:c r="F231" s="55" t="n">
        <x:v>0</x:v>
      </x:c>
      <x:c r="G231" s="58" t="n">
        <x:f>E230</x:f>
        <x:v>0</x:v>
      </x:c>
      <x:c r="H231" s="58" t="n">
        <x:f>AVERAGE(E227:E230)</x:f>
        <x:v>0</x:v>
      </x:c>
      <x:c r="I231" s="58" t="n">
        <x:f>AVERAGE(E223:E230)</x:f>
        <x:v>0</x:v>
      </x:c>
      <x:c r="J231" s="58" t="str">
        <x:f>IF(G231="","",ABS(E231-G231))</x:f>
      </x:c>
      <x:c r="K231" s="58" t="str">
        <x:f>IF(H231="","",ABS(E231-H231))</x:f>
      </x:c>
      <x:c r="L231" s="58" t="str">
        <x:f>IF(I231="","",ABS(E231-I231))</x:f>
      </x:c>
      <x:c r="M231" s="23" t="str">
        <x:f>IF(B231&gt;44,"Validation","Training")</x:f>
        <x:v>Training</x:v>
      </x:c>
      <x:c r="N231" s="61" t="str">
        <x:f>IF(OR(H231="",E231=0),"",K231/E231)</x:f>
      </x:c>
    </x:row>
    <x:row r="232">
      <x:c r="A232" s="28" t="n">
        <x:v>40651</x:v>
      </x:c>
      <x:c r="B232" s="23" t="n">
        <x:v>20</x:v>
      </x:c>
      <x:c r="C232" s="23" t="str">
        <x:v>23166</x:v>
      </x:c>
      <x:c r="D232" s="23" t="str">
        <x:v>MEDIUM CERAMIC TOP STORAGE JAR</x:v>
      </x:c>
      <x:c r="E232" s="34" t="n">
        <x:v>0</x:v>
      </x:c>
      <x:c r="F232" s="55" t="n">
        <x:v>0</x:v>
      </x:c>
      <x:c r="G232" s="58" t="n">
        <x:f>E231</x:f>
        <x:v>0</x:v>
      </x:c>
      <x:c r="H232" s="58" t="n">
        <x:f>AVERAGE(E228:E231)</x:f>
        <x:v>0</x:v>
      </x:c>
      <x:c r="I232" s="58" t="n">
        <x:f>AVERAGE(E224:E231)</x:f>
        <x:v>0</x:v>
      </x:c>
      <x:c r="J232" s="58" t="str">
        <x:f>IF(G232="","",ABS(E232-G232))</x:f>
      </x:c>
      <x:c r="K232" s="58" t="str">
        <x:f>IF(H232="","",ABS(E232-H232))</x:f>
      </x:c>
      <x:c r="L232" s="58" t="str">
        <x:f>IF(I232="","",ABS(E232-I232))</x:f>
      </x:c>
      <x:c r="M232" s="23" t="str">
        <x:f>IF(B232&gt;44,"Validation","Training")</x:f>
        <x:v>Training</x:v>
      </x:c>
      <x:c r="N232" s="61" t="str">
        <x:f>IF(OR(H232="",E232=0),"",K232/E232)</x:f>
      </x:c>
    </x:row>
    <x:row r="233">
      <x:c r="A233" s="28" t="n">
        <x:v>40658</x:v>
      </x:c>
      <x:c r="B233" s="23" t="n">
        <x:v>21</x:v>
      </x:c>
      <x:c r="C233" s="23" t="str">
        <x:v>23166</x:v>
      </x:c>
      <x:c r="D233" s="23" t="str">
        <x:v>MEDIUM CERAMIC TOP STORAGE JAR</x:v>
      </x:c>
      <x:c r="E233" s="34" t="n">
        <x:v>0</x:v>
      </x:c>
      <x:c r="F233" s="55" t="n">
        <x:v>0</x:v>
      </x:c>
      <x:c r="G233" s="58" t="n">
        <x:f>E232</x:f>
        <x:v>0</x:v>
      </x:c>
      <x:c r="H233" s="58" t="n">
        <x:f>AVERAGE(E229:E232)</x:f>
        <x:v>0</x:v>
      </x:c>
      <x:c r="I233" s="58" t="n">
        <x:f>AVERAGE(E225:E232)</x:f>
        <x:v>0</x:v>
      </x:c>
      <x:c r="J233" s="58" t="str">
        <x:f>IF(G233="","",ABS(E233-G233))</x:f>
      </x:c>
      <x:c r="K233" s="58" t="str">
        <x:f>IF(H233="","",ABS(E233-H233))</x:f>
      </x:c>
      <x:c r="L233" s="58" t="str">
        <x:f>IF(I233="","",ABS(E233-I233))</x:f>
      </x:c>
      <x:c r="M233" s="23" t="str">
        <x:f>IF(B233&gt;44,"Validation","Training")</x:f>
        <x:v>Training</x:v>
      </x:c>
      <x:c r="N233" s="61" t="str">
        <x:f>IF(OR(H233="",E233=0),"",K233/E233)</x:f>
      </x:c>
    </x:row>
    <x:row r="234">
      <x:c r="A234" s="28" t="n">
        <x:v>40665</x:v>
      </x:c>
      <x:c r="B234" s="23" t="n">
        <x:v>22</x:v>
      </x:c>
      <x:c r="C234" s="23" t="str">
        <x:v>23166</x:v>
      </x:c>
      <x:c r="D234" s="23" t="str">
        <x:v>MEDIUM CERAMIC TOP STORAGE JAR</x:v>
      </x:c>
      <x:c r="E234" s="34" t="n">
        <x:v>0</x:v>
      </x:c>
      <x:c r="F234" s="55" t="n">
        <x:v>0</x:v>
      </x:c>
      <x:c r="G234" s="58" t="n">
        <x:f>E233</x:f>
        <x:v>0</x:v>
      </x:c>
      <x:c r="H234" s="58" t="n">
        <x:f>AVERAGE(E230:E233)</x:f>
        <x:v>0</x:v>
      </x:c>
      <x:c r="I234" s="58" t="n">
        <x:f>AVERAGE(E226:E233)</x:f>
        <x:v>0</x:v>
      </x:c>
      <x:c r="J234" s="58" t="str">
        <x:f>IF(G234="","",ABS(E234-G234))</x:f>
      </x:c>
      <x:c r="K234" s="58" t="str">
        <x:f>IF(H234="","",ABS(E234-H234))</x:f>
      </x:c>
      <x:c r="L234" s="58" t="str">
        <x:f>IF(I234="","",ABS(E234-I234))</x:f>
      </x:c>
      <x:c r="M234" s="23" t="str">
        <x:f>IF(B234&gt;44,"Validation","Training")</x:f>
        <x:v>Training</x:v>
      </x:c>
      <x:c r="N234" s="61" t="str">
        <x:f>IF(OR(H234="",E234=0),"",K234/E234)</x:f>
      </x:c>
    </x:row>
    <x:row r="235">
      <x:c r="A235" s="28" t="n">
        <x:v>40672</x:v>
      </x:c>
      <x:c r="B235" s="23" t="n">
        <x:v>23</x:v>
      </x:c>
      <x:c r="C235" s="23" t="str">
        <x:v>23166</x:v>
      </x:c>
      <x:c r="D235" s="23" t="str">
        <x:v>MEDIUM CERAMIC TOP STORAGE JAR</x:v>
      </x:c>
      <x:c r="E235" s="34" t="n">
        <x:v>192</x:v>
      </x:c>
      <x:c r="F235" s="55" t="n">
        <x:v>209.76</x:v>
      </x:c>
      <x:c r="G235" s="58" t="n">
        <x:f>E234</x:f>
        <x:v>0</x:v>
      </x:c>
      <x:c r="H235" s="58" t="n">
        <x:f>AVERAGE(E231:E234)</x:f>
        <x:v>0</x:v>
      </x:c>
      <x:c r="I235" s="58" t="n">
        <x:f>AVERAGE(E227:E234)</x:f>
        <x:v>0</x:v>
      </x:c>
      <x:c r="J235" s="58" t="str">
        <x:f>IF(G235="","",ABS(E235-G235))</x:f>
      </x:c>
      <x:c r="K235" s="58" t="str">
        <x:f>IF(H235="","",ABS(E235-H235))</x:f>
      </x:c>
      <x:c r="L235" s="58" t="str">
        <x:f>IF(I235="","",ABS(E235-I235))</x:f>
      </x:c>
      <x:c r="M235" s="23" t="str">
        <x:f>IF(B235&gt;44,"Validation","Training")</x:f>
        <x:v>Training</x:v>
      </x:c>
      <x:c r="N235" s="61" t="str">
        <x:f>IF(OR(H235="",E235=0),"",K235/E235)</x:f>
      </x:c>
    </x:row>
    <x:row r="236">
      <x:c r="A236" s="28" t="n">
        <x:v>40679</x:v>
      </x:c>
      <x:c r="B236" s="23" t="n">
        <x:v>24</x:v>
      </x:c>
      <x:c r="C236" s="23" t="str">
        <x:v>23166</x:v>
      </x:c>
      <x:c r="D236" s="23" t="str">
        <x:v>MEDIUM CERAMIC TOP STORAGE JAR</x:v>
      </x:c>
      <x:c r="E236" s="34" t="n">
        <x:v>393</x:v>
      </x:c>
      <x:c r="F236" s="55" t="n">
        <x:v>435.61</x:v>
      </x:c>
      <x:c r="G236" s="58" t="n">
        <x:f>E235</x:f>
        <x:v>192</x:v>
      </x:c>
      <x:c r="H236" s="58" t="n">
        <x:f>AVERAGE(E232:E235)</x:f>
        <x:v>48</x:v>
      </x:c>
      <x:c r="I236" s="58" t="n">
        <x:f>AVERAGE(E228:E235)</x:f>
        <x:v>24</x:v>
      </x:c>
      <x:c r="J236" s="58" t="n">
        <x:f>IF(G236="","",ABS(E236-G236))</x:f>
        <x:v>201</x:v>
      </x:c>
      <x:c r="K236" s="58" t="n">
        <x:f>IF(H236="","",ABS(E236-H236))</x:f>
        <x:v>345</x:v>
      </x:c>
      <x:c r="L236" s="58" t="n">
        <x:f>IF(I236="","",ABS(E236-I236))</x:f>
        <x:v>369</x:v>
      </x:c>
      <x:c r="M236" s="23" t="str">
        <x:f>IF(B236&gt;44,"Validation","Training")</x:f>
        <x:v>Training</x:v>
      </x:c>
      <x:c r="N236" s="61" t="n">
        <x:f>IF(OR(H236="",E236=0),"",K236/E236)</x:f>
        <x:v>0.8778625954198473</x:v>
      </x:c>
    </x:row>
    <x:row r="237">
      <x:c r="A237" s="28" t="n">
        <x:v>40686</x:v>
      </x:c>
      <x:c r="B237" s="23" t="n">
        <x:v>25</x:v>
      </x:c>
      <x:c r="C237" s="23" t="str">
        <x:v>23166</x:v>
      </x:c>
      <x:c r="D237" s="23" t="str">
        <x:v>MEDIUM CERAMIC TOP STORAGE JAR</x:v>
      </x:c>
      <x:c r="E237" s="34" t="n">
        <x:v>215</x:v>
      </x:c>
      <x:c r="F237" s="55" t="n">
        <x:v>243.35</x:v>
      </x:c>
      <x:c r="G237" s="58" t="n">
        <x:f>E236</x:f>
        <x:v>393</x:v>
      </x:c>
      <x:c r="H237" s="58" t="n">
        <x:f>AVERAGE(E233:E236)</x:f>
        <x:v>146.25</x:v>
      </x:c>
      <x:c r="I237" s="58" t="n">
        <x:f>AVERAGE(E229:E236)</x:f>
        <x:v>73.125</x:v>
      </x:c>
      <x:c r="J237" s="58" t="n">
        <x:f>IF(G237="","",ABS(E237-G237))</x:f>
        <x:v>178</x:v>
      </x:c>
      <x:c r="K237" s="58" t="n">
        <x:f>IF(H237="","",ABS(E237-H237))</x:f>
        <x:v>68.75</x:v>
      </x:c>
      <x:c r="L237" s="58" t="n">
        <x:f>IF(I237="","",ABS(E237-I237))</x:f>
        <x:v>141.875</x:v>
      </x:c>
      <x:c r="M237" s="23" t="str">
        <x:f>IF(B237&gt;44,"Validation","Training")</x:f>
        <x:v>Training</x:v>
      </x:c>
      <x:c r="N237" s="61" t="n">
        <x:f>IF(OR(H237="",E237=0),"",K237/E237)</x:f>
        <x:v>0.31976744186046513</x:v>
      </x:c>
    </x:row>
    <x:row r="238">
      <x:c r="A238" s="28" t="n">
        <x:v>40693</x:v>
      </x:c>
      <x:c r="B238" s="23" t="n">
        <x:v>26</x:v>
      </x:c>
      <x:c r="C238" s="23" t="str">
        <x:v>23166</x:v>
      </x:c>
      <x:c r="D238" s="23" t="str">
        <x:v>MEDIUM CERAMIC TOP STORAGE JAR</x:v>
      </x:c>
      <x:c r="E238" s="34" t="n">
        <x:v>67</x:v>
      </x:c>
      <x:c r="F238" s="55" t="n">
        <x:v>84.96</x:v>
      </x:c>
      <x:c r="G238" s="58" t="n">
        <x:f>E237</x:f>
        <x:v>215</x:v>
      </x:c>
      <x:c r="H238" s="58" t="n">
        <x:f>AVERAGE(E234:E237)</x:f>
        <x:v>200</x:v>
      </x:c>
      <x:c r="I238" s="58" t="n">
        <x:f>AVERAGE(E230:E237)</x:f>
        <x:v>100</x:v>
      </x:c>
      <x:c r="J238" s="58" t="n">
        <x:f>IF(G238="","",ABS(E238-G238))</x:f>
        <x:v>148</x:v>
      </x:c>
      <x:c r="K238" s="58" t="n">
        <x:f>IF(H238="","",ABS(E238-H238))</x:f>
        <x:v>133</x:v>
      </x:c>
      <x:c r="L238" s="58" t="n">
        <x:f>IF(I238="","",ABS(E238-I238))</x:f>
        <x:v>33</x:v>
      </x:c>
      <x:c r="M238" s="23" t="str">
        <x:f>IF(B238&gt;44,"Validation","Training")</x:f>
        <x:v>Training</x:v>
      </x:c>
      <x:c r="N238" s="61" t="n">
        <x:f>IF(OR(H238="",E238=0),"",K238/E238)</x:f>
        <x:v>1.9850746268656716</x:v>
      </x:c>
    </x:row>
    <x:row r="239">
      <x:c r="A239" s="28" t="n">
        <x:v>40700</x:v>
      </x:c>
      <x:c r="B239" s="23" t="n">
        <x:v>27</x:v>
      </x:c>
      <x:c r="C239" s="23" t="str">
        <x:v>23166</x:v>
      </x:c>
      <x:c r="D239" s="23" t="str">
        <x:v>MEDIUM CERAMIC TOP STORAGE JAR</x:v>
      </x:c>
      <x:c r="E239" s="34" t="n">
        <x:v>145</x:v>
      </x:c>
      <x:c r="F239" s="55" t="n">
        <x:v>176.01</x:v>
      </x:c>
      <x:c r="G239" s="58" t="n">
        <x:f>E238</x:f>
        <x:v>67</x:v>
      </x:c>
      <x:c r="H239" s="58" t="n">
        <x:f>AVERAGE(E235:E238)</x:f>
        <x:v>216.75</x:v>
      </x:c>
      <x:c r="I239" s="58" t="n">
        <x:f>AVERAGE(E231:E238)</x:f>
        <x:v>108.375</x:v>
      </x:c>
      <x:c r="J239" s="58" t="n">
        <x:f>IF(G239="","",ABS(E239-G239))</x:f>
        <x:v>78</x:v>
      </x:c>
      <x:c r="K239" s="58" t="n">
        <x:f>IF(H239="","",ABS(E239-H239))</x:f>
        <x:v>71.75</x:v>
      </x:c>
      <x:c r="L239" s="58" t="n">
        <x:f>IF(I239="","",ABS(E239-I239))</x:f>
        <x:v>36.625</x:v>
      </x:c>
      <x:c r="M239" s="23" t="str">
        <x:f>IF(B239&gt;44,"Validation","Training")</x:f>
        <x:v>Training</x:v>
      </x:c>
      <x:c r="N239" s="61" t="n">
        <x:f>IF(OR(H239="",E239=0),"",K239/E239)</x:f>
        <x:v>0.49482758620689654</x:v>
      </x:c>
    </x:row>
    <x:row r="240">
      <x:c r="A240" s="28" t="n">
        <x:v>40707</x:v>
      </x:c>
      <x:c r="B240" s="23" t="n">
        <x:v>28</x:v>
      </x:c>
      <x:c r="C240" s="23" t="str">
        <x:v>23166</x:v>
      </x:c>
      <x:c r="D240" s="23" t="str">
        <x:v>MEDIUM CERAMIC TOP STORAGE JAR</x:v>
      </x:c>
      <x:c r="E240" s="34" t="n">
        <x:v>125</x:v>
      </x:c>
      <x:c r="F240" s="55" t="n">
        <x:v>136.09</x:v>
      </x:c>
      <x:c r="G240" s="58" t="n">
        <x:f>E239</x:f>
        <x:v>145</x:v>
      </x:c>
      <x:c r="H240" s="58" t="n">
        <x:f>AVERAGE(E236:E239)</x:f>
        <x:v>205</x:v>
      </x:c>
      <x:c r="I240" s="58" t="n">
        <x:f>AVERAGE(E232:E239)</x:f>
        <x:v>126.5</x:v>
      </x:c>
      <x:c r="J240" s="58" t="n">
        <x:f>IF(G240="","",ABS(E240-G240))</x:f>
        <x:v>20</x:v>
      </x:c>
      <x:c r="K240" s="58" t="n">
        <x:f>IF(H240="","",ABS(E240-H240))</x:f>
        <x:v>80</x:v>
      </x:c>
      <x:c r="L240" s="58" t="n">
        <x:f>IF(I240="","",ABS(E240-I240))</x:f>
        <x:v>1.5</x:v>
      </x:c>
      <x:c r="M240" s="23" t="str">
        <x:f>IF(B240&gt;44,"Validation","Training")</x:f>
        <x:v>Training</x:v>
      </x:c>
      <x:c r="N240" s="61" t="n">
        <x:f>IF(OR(H240="",E240=0),"",K240/E240)</x:f>
        <x:v>0.64</x:v>
      </x:c>
    </x:row>
    <x:row r="241">
      <x:c r="A241" s="28" t="n">
        <x:v>40714</x:v>
      </x:c>
      <x:c r="B241" s="23" t="n">
        <x:v>29</x:v>
      </x:c>
      <x:c r="C241" s="23" t="str">
        <x:v>23166</x:v>
      </x:c>
      <x:c r="D241" s="23" t="str">
        <x:v>MEDIUM CERAMIC TOP STORAGE JAR</x:v>
      </x:c>
      <x:c r="E241" s="34" t="n">
        <x:v>54</x:v>
      </x:c>
      <x:c r="F241" s="55" t="n">
        <x:v>69.92</x:v>
      </x:c>
      <x:c r="G241" s="58" t="n">
        <x:f>E240</x:f>
        <x:v>125</x:v>
      </x:c>
      <x:c r="H241" s="58" t="n">
        <x:f>AVERAGE(E237:E240)</x:f>
        <x:v>138</x:v>
      </x:c>
      <x:c r="I241" s="58" t="n">
        <x:f>AVERAGE(E233:E240)</x:f>
        <x:v>142.125</x:v>
      </x:c>
      <x:c r="J241" s="58" t="n">
        <x:f>IF(G241="","",ABS(E241-G241))</x:f>
        <x:v>71</x:v>
      </x:c>
      <x:c r="K241" s="58" t="n">
        <x:f>IF(H241="","",ABS(E241-H241))</x:f>
        <x:v>84</x:v>
      </x:c>
      <x:c r="L241" s="58" t="n">
        <x:f>IF(I241="","",ABS(E241-I241))</x:f>
        <x:v>88.125</x:v>
      </x:c>
      <x:c r="M241" s="23" t="str">
        <x:f>IF(B241&gt;44,"Validation","Training")</x:f>
        <x:v>Training</x:v>
      </x:c>
      <x:c r="N241" s="61" t="n">
        <x:f>IF(OR(H241="",E241=0),"",K241/E241)</x:f>
        <x:v>1.5555555555555556</x:v>
      </x:c>
    </x:row>
    <x:row r="242">
      <x:c r="A242" s="28" t="n">
        <x:v>40721</x:v>
      </x:c>
      <x:c r="B242" s="23" t="n">
        <x:v>30</x:v>
      </x:c>
      <x:c r="C242" s="23" t="str">
        <x:v>23166</x:v>
      </x:c>
      <x:c r="D242" s="23" t="str">
        <x:v>MEDIUM CERAMIC TOP STORAGE JAR</x:v>
      </x:c>
      <x:c r="E242" s="34" t="n">
        <x:v>7</x:v>
      </x:c>
      <x:c r="F242" s="55" t="n">
        <x:v>8.75</x:v>
      </x:c>
      <x:c r="G242" s="58" t="n">
        <x:f>E241</x:f>
        <x:v>54</x:v>
      </x:c>
      <x:c r="H242" s="58" t="n">
        <x:f>AVERAGE(E238:E241)</x:f>
        <x:v>97.75</x:v>
      </x:c>
      <x:c r="I242" s="58" t="n">
        <x:f>AVERAGE(E234:E241)</x:f>
        <x:v>148.875</x:v>
      </x:c>
      <x:c r="J242" s="58" t="n">
        <x:f>IF(G242="","",ABS(E242-G242))</x:f>
        <x:v>47</x:v>
      </x:c>
      <x:c r="K242" s="58" t="n">
        <x:f>IF(H242="","",ABS(E242-H242))</x:f>
        <x:v>90.75</x:v>
      </x:c>
      <x:c r="L242" s="58" t="n">
        <x:f>IF(I242="","",ABS(E242-I242))</x:f>
        <x:v>141.875</x:v>
      </x:c>
      <x:c r="M242" s="23" t="str">
        <x:f>IF(B242&gt;44,"Validation","Training")</x:f>
        <x:v>Training</x:v>
      </x:c>
      <x:c r="N242" s="61" t="n">
        <x:f>IF(OR(H242="",E242=0),"",K242/E242)</x:f>
        <x:v>12.964285714285714</x:v>
      </x:c>
    </x:row>
    <x:row r="243">
      <x:c r="A243" s="28" t="n">
        <x:v>40728</x:v>
      </x:c>
      <x:c r="B243" s="23" t="n">
        <x:v>31</x:v>
      </x:c>
      <x:c r="C243" s="23" t="str">
        <x:v>23166</x:v>
      </x:c>
      <x:c r="D243" s="23" t="str">
        <x:v>MEDIUM CERAMIC TOP STORAGE JAR</x:v>
      </x:c>
      <x:c r="E243" s="34" t="n">
        <x:v>82</x:v>
      </x:c>
      <x:c r="F243" s="55" t="n">
        <x:v>100.89</x:v>
      </x:c>
      <x:c r="G243" s="58" t="n">
        <x:f>E242</x:f>
        <x:v>7</x:v>
      </x:c>
      <x:c r="H243" s="58" t="n">
        <x:f>AVERAGE(E239:E242)</x:f>
        <x:v>82.75</x:v>
      </x:c>
      <x:c r="I243" s="58" t="n">
        <x:f>AVERAGE(E235:E242)</x:f>
        <x:v>149.75</x:v>
      </x:c>
      <x:c r="J243" s="58" t="n">
        <x:f>IF(G243="","",ABS(E243-G243))</x:f>
        <x:v>75</x:v>
      </x:c>
      <x:c r="K243" s="58" t="n">
        <x:f>IF(H243="","",ABS(E243-H243))</x:f>
        <x:v>0.75</x:v>
      </x:c>
      <x:c r="L243" s="58" t="n">
        <x:f>IF(I243="","",ABS(E243-I243))</x:f>
        <x:v>67.75</x:v>
      </x:c>
      <x:c r="M243" s="23" t="str">
        <x:f>IF(B243&gt;44,"Validation","Training")</x:f>
        <x:v>Training</x:v>
      </x:c>
      <x:c r="N243" s="61" t="n">
        <x:f>IF(OR(H243="",E243=0),"",K243/E243)</x:f>
        <x:v>0.009146341463414634</x:v>
      </x:c>
    </x:row>
    <x:row r="244">
      <x:c r="A244" s="28" t="n">
        <x:v>40735</x:v>
      </x:c>
      <x:c r="B244" s="23" t="n">
        <x:v>32</x:v>
      </x:c>
      <x:c r="C244" s="23" t="str">
        <x:v>23166</x:v>
      </x:c>
      <x:c r="D244" s="23" t="str">
        <x:v>MEDIUM CERAMIC TOP STORAGE JAR</x:v>
      </x:c>
      <x:c r="E244" s="34" t="n">
        <x:v>94</x:v>
      </x:c>
      <x:c r="F244" s="55" t="n">
        <x:v>112.26</x:v>
      </x:c>
      <x:c r="G244" s="58" t="n">
        <x:f>E243</x:f>
        <x:v>82</x:v>
      </x:c>
      <x:c r="H244" s="58" t="n">
        <x:f>AVERAGE(E240:E243)</x:f>
        <x:v>67</x:v>
      </x:c>
      <x:c r="I244" s="58" t="n">
        <x:f>AVERAGE(E236:E243)</x:f>
        <x:v>136</x:v>
      </x:c>
      <x:c r="J244" s="58" t="n">
        <x:f>IF(G244="","",ABS(E244-G244))</x:f>
        <x:v>12</x:v>
      </x:c>
      <x:c r="K244" s="58" t="n">
        <x:f>IF(H244="","",ABS(E244-H244))</x:f>
        <x:v>27</x:v>
      </x:c>
      <x:c r="L244" s="58" t="n">
        <x:f>IF(I244="","",ABS(E244-I244))</x:f>
        <x:v>42</x:v>
      </x:c>
      <x:c r="M244" s="23" t="str">
        <x:f>IF(B244&gt;44,"Validation","Training")</x:f>
        <x:v>Training</x:v>
      </x:c>
      <x:c r="N244" s="61" t="n">
        <x:f>IF(OR(H244="",E244=0),"",K244/E244)</x:f>
        <x:v>0.2872340425531915</x:v>
      </x:c>
    </x:row>
    <x:row r="245">
      <x:c r="A245" s="28" t="n">
        <x:v>40742</x:v>
      </x:c>
      <x:c r="B245" s="23" t="n">
        <x:v>33</x:v>
      </x:c>
      <x:c r="C245" s="23" t="str">
        <x:v>23166</x:v>
      </x:c>
      <x:c r="D245" s="23" t="str">
        <x:v>MEDIUM CERAMIC TOP STORAGE JAR</x:v>
      </x:c>
      <x:c r="E245" s="34" t="n">
        <x:v>193</x:v>
      </x:c>
      <x:c r="F245" s="55" t="n">
        <x:v>200.93</x:v>
      </x:c>
      <x:c r="G245" s="58" t="n">
        <x:f>E244</x:f>
        <x:v>94</x:v>
      </x:c>
      <x:c r="H245" s="58" t="n">
        <x:f>AVERAGE(E241:E244)</x:f>
        <x:v>59.25</x:v>
      </x:c>
      <x:c r="I245" s="58" t="n">
        <x:f>AVERAGE(E237:E244)</x:f>
        <x:v>98.625</x:v>
      </x:c>
      <x:c r="J245" s="58" t="n">
        <x:f>IF(G245="","",ABS(E245-G245))</x:f>
        <x:v>99</x:v>
      </x:c>
      <x:c r="K245" s="58" t="n">
        <x:f>IF(H245="","",ABS(E245-H245))</x:f>
        <x:v>133.75</x:v>
      </x:c>
      <x:c r="L245" s="58" t="n">
        <x:f>IF(I245="","",ABS(E245-I245))</x:f>
        <x:v>94.375</x:v>
      </x:c>
      <x:c r="M245" s="23" t="str">
        <x:f>IF(B245&gt;44,"Validation","Training")</x:f>
        <x:v>Training</x:v>
      </x:c>
      <x:c r="N245" s="61" t="n">
        <x:f>IF(OR(H245="",E245=0),"",K245/E245)</x:f>
        <x:v>0.6930051813471503</x:v>
      </x:c>
    </x:row>
    <x:row r="246">
      <x:c r="A246" s="28" t="n">
        <x:v>40749</x:v>
      </x:c>
      <x:c r="B246" s="23" t="n">
        <x:v>34</x:v>
      </x:c>
      <x:c r="C246" s="23" t="str">
        <x:v>23166</x:v>
      </x:c>
      <x:c r="D246" s="23" t="str">
        <x:v>MEDIUM CERAMIC TOP STORAGE JAR</x:v>
      </x:c>
      <x:c r="E246" s="34" t="n">
        <x:v>362</x:v>
      </x:c>
      <x:c r="F246" s="55" t="n">
        <x:v>443.63</x:v>
      </x:c>
      <x:c r="G246" s="58" t="n">
        <x:f>E245</x:f>
        <x:v>193</x:v>
      </x:c>
      <x:c r="H246" s="58" t="n">
        <x:f>AVERAGE(E242:E245)</x:f>
        <x:v>94</x:v>
      </x:c>
      <x:c r="I246" s="58" t="n">
        <x:f>AVERAGE(E238:E245)</x:f>
        <x:v>95.875</x:v>
      </x:c>
      <x:c r="J246" s="58" t="n">
        <x:f>IF(G246="","",ABS(E246-G246))</x:f>
        <x:v>169</x:v>
      </x:c>
      <x:c r="K246" s="58" t="n">
        <x:f>IF(H246="","",ABS(E246-H246))</x:f>
        <x:v>268</x:v>
      </x:c>
      <x:c r="L246" s="58" t="n">
        <x:f>IF(I246="","",ABS(E246-I246))</x:f>
        <x:v>266.125</x:v>
      </x:c>
      <x:c r="M246" s="23" t="str">
        <x:f>IF(B246&gt;44,"Validation","Training")</x:f>
        <x:v>Training</x:v>
      </x:c>
      <x:c r="N246" s="61" t="n">
        <x:f>IF(OR(H246="",E246=0),"",K246/E246)</x:f>
        <x:v>0.7403314917127072</x:v>
      </x:c>
    </x:row>
    <x:row r="247">
      <x:c r="A247" s="28" t="n">
        <x:v>40756</x:v>
      </x:c>
      <x:c r="B247" s="23" t="n">
        <x:v>35</x:v>
      </x:c>
      <x:c r="C247" s="23" t="str">
        <x:v>23166</x:v>
      </x:c>
      <x:c r="D247" s="23" t="str">
        <x:v>MEDIUM CERAMIC TOP STORAGE JAR</x:v>
      </x:c>
      <x:c r="E247" s="34" t="n">
        <x:v>128</x:v>
      </x:c>
      <x:c r="F247" s="55" t="n">
        <x:v>169.68</x:v>
      </x:c>
      <x:c r="G247" s="58" t="n">
        <x:f>E246</x:f>
        <x:v>362</x:v>
      </x:c>
      <x:c r="H247" s="58" t="n">
        <x:f>AVERAGE(E243:E246)</x:f>
        <x:v>182.75</x:v>
      </x:c>
      <x:c r="I247" s="58" t="n">
        <x:f>AVERAGE(E239:E246)</x:f>
        <x:v>132.75</x:v>
      </x:c>
      <x:c r="J247" s="58" t="n">
        <x:f>IF(G247="","",ABS(E247-G247))</x:f>
        <x:v>234</x:v>
      </x:c>
      <x:c r="K247" s="58" t="n">
        <x:f>IF(H247="","",ABS(E247-H247))</x:f>
        <x:v>54.75</x:v>
      </x:c>
      <x:c r="L247" s="58" t="n">
        <x:f>IF(I247="","",ABS(E247-I247))</x:f>
        <x:v>4.75</x:v>
      </x:c>
      <x:c r="M247" s="23" t="str">
        <x:f>IF(B247&gt;44,"Validation","Training")</x:f>
        <x:v>Training</x:v>
      </x:c>
      <x:c r="N247" s="61" t="n">
        <x:f>IF(OR(H247="",E247=0),"",K247/E247)</x:f>
        <x:v>0.427734375</x:v>
      </x:c>
    </x:row>
    <x:row r="248">
      <x:c r="A248" s="28" t="n">
        <x:v>40763</x:v>
      </x:c>
      <x:c r="B248" s="23" t="n">
        <x:v>36</x:v>
      </x:c>
      <x:c r="C248" s="23" t="str">
        <x:v>23166</x:v>
      </x:c>
      <x:c r="D248" s="23" t="str">
        <x:v>MEDIUM CERAMIC TOP STORAGE JAR</x:v>
      </x:c>
      <x:c r="E248" s="34" t="n">
        <x:v>59</x:v>
      </x:c>
      <x:c r="F248" s="55" t="n">
        <x:v>79.8</x:v>
      </x:c>
      <x:c r="G248" s="58" t="n">
        <x:f>E247</x:f>
        <x:v>128</x:v>
      </x:c>
      <x:c r="H248" s="58" t="n">
        <x:f>AVERAGE(E244:E247)</x:f>
        <x:v>194.25</x:v>
      </x:c>
      <x:c r="I248" s="58" t="n">
        <x:f>AVERAGE(E240:E247)</x:f>
        <x:v>130.625</x:v>
      </x:c>
      <x:c r="J248" s="58" t="n">
        <x:f>IF(G248="","",ABS(E248-G248))</x:f>
        <x:v>69</x:v>
      </x:c>
      <x:c r="K248" s="58" t="n">
        <x:f>IF(H248="","",ABS(E248-H248))</x:f>
        <x:v>135.25</x:v>
      </x:c>
      <x:c r="L248" s="58" t="n">
        <x:f>IF(I248="","",ABS(E248-I248))</x:f>
        <x:v>71.625</x:v>
      </x:c>
      <x:c r="M248" s="23" t="str">
        <x:f>IF(B248&gt;44,"Validation","Training")</x:f>
        <x:v>Training</x:v>
      </x:c>
      <x:c r="N248" s="61" t="n">
        <x:f>IF(OR(H248="",E248=0),"",K248/E248)</x:f>
        <x:v>2.292372881355932</x:v>
      </x:c>
    </x:row>
    <x:row r="249">
      <x:c r="A249" s="28" t="n">
        <x:v>40770</x:v>
      </x:c>
      <x:c r="B249" s="23" t="n">
        <x:v>37</x:v>
      </x:c>
      <x:c r="C249" s="23" t="str">
        <x:v>23166</x:v>
      </x:c>
      <x:c r="D249" s="23" t="str">
        <x:v>MEDIUM CERAMIC TOP STORAGE JAR</x:v>
      </x:c>
      <x:c r="E249" s="34" t="n">
        <x:v>141</x:v>
      </x:c>
      <x:c r="F249" s="55" t="n">
        <x:v>156.09</x:v>
      </x:c>
      <x:c r="G249" s="58" t="n">
        <x:f>E248</x:f>
        <x:v>59</x:v>
      </x:c>
      <x:c r="H249" s="58" t="n">
        <x:f>AVERAGE(E245:E248)</x:f>
        <x:v>185.5</x:v>
      </x:c>
      <x:c r="I249" s="58" t="n">
        <x:f>AVERAGE(E241:E248)</x:f>
        <x:v>122.375</x:v>
      </x:c>
      <x:c r="J249" s="58" t="n">
        <x:f>IF(G249="","",ABS(E249-G249))</x:f>
        <x:v>82</x:v>
      </x:c>
      <x:c r="K249" s="58" t="n">
        <x:f>IF(H249="","",ABS(E249-H249))</x:f>
        <x:v>44.5</x:v>
      </x:c>
      <x:c r="L249" s="58" t="n">
        <x:f>IF(I249="","",ABS(E249-I249))</x:f>
        <x:v>18.625</x:v>
      </x:c>
      <x:c r="M249" s="23" t="str">
        <x:f>IF(B249&gt;44,"Validation","Training")</x:f>
        <x:v>Training</x:v>
      </x:c>
      <x:c r="N249" s="61" t="n">
        <x:f>IF(OR(H249="",E249=0),"",K249/E249)</x:f>
        <x:v>0.31560283687943264</x:v>
      </x:c>
    </x:row>
    <x:row r="250">
      <x:c r="A250" s="28" t="n">
        <x:v>40777</x:v>
      </x:c>
      <x:c r="B250" s="23" t="n">
        <x:v>38</x:v>
      </x:c>
      <x:c r="C250" s="23" t="str">
        <x:v>23166</x:v>
      </x:c>
      <x:c r="D250" s="23" t="str">
        <x:v>MEDIUM CERAMIC TOP STORAGE JAR</x:v>
      </x:c>
      <x:c r="E250" s="34" t="n">
        <x:v>82</x:v>
      </x:c>
      <x:c r="F250" s="55" t="n">
        <x:v>107.34</x:v>
      </x:c>
      <x:c r="G250" s="58" t="n">
        <x:f>E249</x:f>
        <x:v>141</x:v>
      </x:c>
      <x:c r="H250" s="58" t="n">
        <x:f>AVERAGE(E246:E249)</x:f>
        <x:v>172.5</x:v>
      </x:c>
      <x:c r="I250" s="58" t="n">
        <x:f>AVERAGE(E242:E249)</x:f>
        <x:v>133.25</x:v>
      </x:c>
      <x:c r="J250" s="58" t="n">
        <x:f>IF(G250="","",ABS(E250-G250))</x:f>
        <x:v>59</x:v>
      </x:c>
      <x:c r="K250" s="58" t="n">
        <x:f>IF(H250="","",ABS(E250-H250))</x:f>
        <x:v>90.5</x:v>
      </x:c>
      <x:c r="L250" s="58" t="n">
        <x:f>IF(I250="","",ABS(E250-I250))</x:f>
        <x:v>51.25</x:v>
      </x:c>
      <x:c r="M250" s="23" t="str">
        <x:f>IF(B250&gt;44,"Validation","Training")</x:f>
        <x:v>Training</x:v>
      </x:c>
      <x:c r="N250" s="61" t="n">
        <x:f>IF(OR(H250="",E250=0),"",K250/E250)</x:f>
        <x:v>1.103658536585366</x:v>
      </x:c>
    </x:row>
    <x:row r="251">
      <x:c r="A251" s="28" t="n">
        <x:v>40784</x:v>
      </x:c>
      <x:c r="B251" s="23" t="n">
        <x:v>39</x:v>
      </x:c>
      <x:c r="C251" s="23" t="str">
        <x:v>23166</x:v>
      </x:c>
      <x:c r="D251" s="23" t="str">
        <x:v>MEDIUM CERAMIC TOP STORAGE JAR</x:v>
      </x:c>
      <x:c r="E251" s="34" t="n">
        <x:v>24</x:v>
      </x:c>
      <x:c r="F251" s="55" t="n">
        <x:v>37.26</x:v>
      </x:c>
      <x:c r="G251" s="58" t="n">
        <x:f>E250</x:f>
        <x:v>82</x:v>
      </x:c>
      <x:c r="H251" s="58" t="n">
        <x:f>AVERAGE(E247:E250)</x:f>
        <x:v>102.5</x:v>
      </x:c>
      <x:c r="I251" s="58" t="n">
        <x:f>AVERAGE(E243:E250)</x:f>
        <x:v>142.625</x:v>
      </x:c>
      <x:c r="J251" s="58" t="n">
        <x:f>IF(G251="","",ABS(E251-G251))</x:f>
        <x:v>58</x:v>
      </x:c>
      <x:c r="K251" s="58" t="n">
        <x:f>IF(H251="","",ABS(E251-H251))</x:f>
        <x:v>78.5</x:v>
      </x:c>
      <x:c r="L251" s="58" t="n">
        <x:f>IF(I251="","",ABS(E251-I251))</x:f>
        <x:v>118.625</x:v>
      </x:c>
      <x:c r="M251" s="23" t="str">
        <x:f>IF(B251&gt;44,"Validation","Training")</x:f>
        <x:v>Training</x:v>
      </x:c>
      <x:c r="N251" s="61" t="n">
        <x:f>IF(OR(H251="",E251=0),"",K251/E251)</x:f>
        <x:v>3.2708333333333335</x:v>
      </x:c>
    </x:row>
    <x:row r="252">
      <x:c r="A252" s="28" t="n">
        <x:v>40791</x:v>
      </x:c>
      <x:c r="B252" s="23" t="n">
        <x:v>40</x:v>
      </x:c>
      <x:c r="C252" s="23" t="str">
        <x:v>23166</x:v>
      </x:c>
      <x:c r="D252" s="23" t="str">
        <x:v>MEDIUM CERAMIC TOP STORAGE JAR</x:v>
      </x:c>
      <x:c r="E252" s="34" t="n">
        <x:v>129</x:v>
      </x:c>
      <x:c r="F252" s="55" t="n">
        <x:v>144.72</x:v>
      </x:c>
      <x:c r="G252" s="58" t="n">
        <x:f>E251</x:f>
        <x:v>24</x:v>
      </x:c>
      <x:c r="H252" s="58" t="n">
        <x:f>AVERAGE(E248:E251)</x:f>
        <x:v>76.5</x:v>
      </x:c>
      <x:c r="I252" s="58" t="n">
        <x:f>AVERAGE(E244:E251)</x:f>
        <x:v>135.375</x:v>
      </x:c>
      <x:c r="J252" s="58" t="n">
        <x:f>IF(G252="","",ABS(E252-G252))</x:f>
        <x:v>105</x:v>
      </x:c>
      <x:c r="K252" s="58" t="n">
        <x:f>IF(H252="","",ABS(E252-H252))</x:f>
        <x:v>52.5</x:v>
      </x:c>
      <x:c r="L252" s="58" t="n">
        <x:f>IF(I252="","",ABS(E252-I252))</x:f>
        <x:v>6.375</x:v>
      </x:c>
      <x:c r="M252" s="23" t="str">
        <x:f>IF(B252&gt;44,"Validation","Training")</x:f>
        <x:v>Training</x:v>
      </x:c>
      <x:c r="N252" s="61" t="n">
        <x:f>IF(OR(H252="",E252=0),"",K252/E252)</x:f>
        <x:v>0.4069767441860465</x:v>
      </x:c>
    </x:row>
    <x:row r="253">
      <x:c r="A253" s="28" t="n">
        <x:v>40798</x:v>
      </x:c>
      <x:c r="B253" s="23" t="n">
        <x:v>41</x:v>
      </x:c>
      <x:c r="C253" s="23" t="str">
        <x:v>23166</x:v>
      </x:c>
      <x:c r="D253" s="23" t="str">
        <x:v>MEDIUM CERAMIC TOP STORAGE JAR</x:v>
      </x:c>
      <x:c r="E253" s="34" t="n">
        <x:v>39</x:v>
      </x:c>
      <x:c r="F253" s="55" t="n">
        <x:v>48.75</x:v>
      </x:c>
      <x:c r="G253" s="58" t="n">
        <x:f>E252</x:f>
        <x:v>129</x:v>
      </x:c>
      <x:c r="H253" s="58" t="n">
        <x:f>AVERAGE(E249:E252)</x:f>
        <x:v>94</x:v>
      </x:c>
      <x:c r="I253" s="58" t="n">
        <x:f>AVERAGE(E245:E252)</x:f>
        <x:v>139.75</x:v>
      </x:c>
      <x:c r="J253" s="58" t="n">
        <x:f>IF(G253="","",ABS(E253-G253))</x:f>
        <x:v>90</x:v>
      </x:c>
      <x:c r="K253" s="58" t="n">
        <x:f>IF(H253="","",ABS(E253-H253))</x:f>
        <x:v>55</x:v>
      </x:c>
      <x:c r="L253" s="58" t="n">
        <x:f>IF(I253="","",ABS(E253-I253))</x:f>
        <x:v>100.75</x:v>
      </x:c>
      <x:c r="M253" s="23" t="str">
        <x:f>IF(B253&gt;44,"Validation","Training")</x:f>
        <x:v>Training</x:v>
      </x:c>
      <x:c r="N253" s="61" t="n">
        <x:f>IF(OR(H253="",E253=0),"",K253/E253)</x:f>
        <x:v>1.4102564102564104</x:v>
      </x:c>
    </x:row>
    <x:row r="254">
      <x:c r="A254" s="28" t="n">
        <x:v>40805</x:v>
      </x:c>
      <x:c r="B254" s="23" t="n">
        <x:v>42</x:v>
      </x:c>
      <x:c r="C254" s="23" t="str">
        <x:v>23166</x:v>
      </x:c>
      <x:c r="D254" s="23" t="str">
        <x:v>MEDIUM CERAMIC TOP STORAGE JAR</x:v>
      </x:c>
      <x:c r="E254" s="34" t="n">
        <x:v>92</x:v>
      </x:c>
      <x:c r="F254" s="55" t="n">
        <x:v>104.92</x:v>
      </x:c>
      <x:c r="G254" s="58" t="n">
        <x:f>E253</x:f>
        <x:v>39</x:v>
      </x:c>
      <x:c r="H254" s="58" t="n">
        <x:f>AVERAGE(E250:E253)</x:f>
        <x:v>68.5</x:v>
      </x:c>
      <x:c r="I254" s="58" t="n">
        <x:f>AVERAGE(E246:E253)</x:f>
        <x:v>120.5</x:v>
      </x:c>
      <x:c r="J254" s="58" t="n">
        <x:f>IF(G254="","",ABS(E254-G254))</x:f>
        <x:v>53</x:v>
      </x:c>
      <x:c r="K254" s="58" t="n">
        <x:f>IF(H254="","",ABS(E254-H254))</x:f>
        <x:v>23.5</x:v>
      </x:c>
      <x:c r="L254" s="58" t="n">
        <x:f>IF(I254="","",ABS(E254-I254))</x:f>
        <x:v>28.5</x:v>
      </x:c>
      <x:c r="M254" s="23" t="str">
        <x:f>IF(B254&gt;44,"Validation","Training")</x:f>
        <x:v>Training</x:v>
      </x:c>
      <x:c r="N254" s="61" t="n">
        <x:f>IF(OR(H254="",E254=0),"",K254/E254)</x:f>
        <x:v>0.2554347826086957</x:v>
      </x:c>
    </x:row>
    <x:row r="255">
      <x:c r="A255" s="28" t="n">
        <x:v>40812</x:v>
      </x:c>
      <x:c r="B255" s="23" t="n">
        <x:v>43</x:v>
      </x:c>
      <x:c r="C255" s="23" t="str">
        <x:v>23166</x:v>
      </x:c>
      <x:c r="D255" s="23" t="str">
        <x:v>MEDIUM CERAMIC TOP STORAGE JAR</x:v>
      </x:c>
      <x:c r="E255" s="34" t="n">
        <x:v>79</x:v>
      </x:c>
      <x:c r="F255" s="55" t="n">
        <x:v>98.75</x:v>
      </x:c>
      <x:c r="G255" s="58" t="n">
        <x:f>E254</x:f>
        <x:v>92</x:v>
      </x:c>
      <x:c r="H255" s="58" t="n">
        <x:f>AVERAGE(E251:E254)</x:f>
        <x:v>71</x:v>
      </x:c>
      <x:c r="I255" s="58" t="n">
        <x:f>AVERAGE(E247:E254)</x:f>
        <x:v>86.75</x:v>
      </x:c>
      <x:c r="J255" s="58" t="n">
        <x:f>IF(G255="","",ABS(E255-G255))</x:f>
        <x:v>13</x:v>
      </x:c>
      <x:c r="K255" s="58" t="n">
        <x:f>IF(H255="","",ABS(E255-H255))</x:f>
        <x:v>8</x:v>
      </x:c>
      <x:c r="L255" s="58" t="n">
        <x:f>IF(I255="","",ABS(E255-I255))</x:f>
        <x:v>7.75</x:v>
      </x:c>
      <x:c r="M255" s="23" t="str">
        <x:f>IF(B255&gt;44,"Validation","Training")</x:f>
        <x:v>Training</x:v>
      </x:c>
      <x:c r="N255" s="61" t="n">
        <x:f>IF(OR(H255="",E255=0),"",K255/E255)</x:f>
        <x:v>0.10126582278481013</x:v>
      </x:c>
    </x:row>
    <x:row r="256">
      <x:c r="A256" s="28" t="n">
        <x:v>40819</x:v>
      </x:c>
      <x:c r="B256" s="23" t="n">
        <x:v>44</x:v>
      </x:c>
      <x:c r="C256" s="23" t="str">
        <x:v>23166</x:v>
      </x:c>
      <x:c r="D256" s="23" t="str">
        <x:v>MEDIUM CERAMIC TOP STORAGE JAR</x:v>
      </x:c>
      <x:c r="E256" s="34" t="n">
        <x:v>42</x:v>
      </x:c>
      <x:c r="F256" s="55" t="n">
        <x:v>56.13</x:v>
      </x:c>
      <x:c r="G256" s="58" t="n">
        <x:f>E255</x:f>
        <x:v>79</x:v>
      </x:c>
      <x:c r="H256" s="58" t="n">
        <x:f>AVERAGE(E252:E255)</x:f>
        <x:v>84.75</x:v>
      </x:c>
      <x:c r="I256" s="58" t="n">
        <x:f>AVERAGE(E248:E255)</x:f>
        <x:v>80.625</x:v>
      </x:c>
      <x:c r="J256" s="58" t="n">
        <x:f>IF(G256="","",ABS(E256-G256))</x:f>
        <x:v>37</x:v>
      </x:c>
      <x:c r="K256" s="58" t="n">
        <x:f>IF(H256="","",ABS(E256-H256))</x:f>
        <x:v>42.75</x:v>
      </x:c>
      <x:c r="L256" s="58" t="n">
        <x:f>IF(I256="","",ABS(E256-I256))</x:f>
        <x:v>38.625</x:v>
      </x:c>
      <x:c r="M256" s="23" t="str">
        <x:f>IF(B256&gt;44,"Validation","Training")</x:f>
        <x:v>Training</x:v>
      </x:c>
      <x:c r="N256" s="61" t="n">
        <x:f>IF(OR(H256="",E256=0),"",K256/E256)</x:f>
        <x:v>1.0178571428571428</x:v>
      </x:c>
    </x:row>
    <x:row r="257">
      <x:c r="A257" s="28" t="n">
        <x:v>40826</x:v>
      </x:c>
      <x:c r="B257" s="23" t="n">
        <x:v>45</x:v>
      </x:c>
      <x:c r="C257" s="23" t="str">
        <x:v>23166</x:v>
      </x:c>
      <x:c r="D257" s="23" t="str">
        <x:v>MEDIUM CERAMIC TOP STORAGE JAR</x:v>
      </x:c>
      <x:c r="E257" s="34" t="n">
        <x:v>82</x:v>
      </x:c>
      <x:c r="F257" s="55" t="n">
        <x:v>97.26</x:v>
      </x:c>
      <x:c r="G257" s="58" t="n">
        <x:f>E256</x:f>
        <x:v>42</x:v>
      </x:c>
      <x:c r="H257" s="58" t="n">
        <x:f>AVERAGE(E253:E256)</x:f>
        <x:v>63</x:v>
      </x:c>
      <x:c r="I257" s="58" t="n">
        <x:f>AVERAGE(E249:E256)</x:f>
        <x:v>78.5</x:v>
      </x:c>
      <x:c r="J257" s="58" t="n">
        <x:f>IF(G257="","",ABS(E257-G257))</x:f>
        <x:v>40</x:v>
      </x:c>
      <x:c r="K257" s="58" t="n">
        <x:f>IF(H257="","",ABS(E257-H257))</x:f>
        <x:v>19</x:v>
      </x:c>
      <x:c r="L257" s="58" t="n">
        <x:f>IF(I257="","",ABS(E257-I257))</x:f>
        <x:v>3.5</x:v>
      </x:c>
      <x:c r="M257" s="23" t="str">
        <x:f>IF(B257&gt;44,"Validation","Training")</x:f>
        <x:v>Validation</x:v>
      </x:c>
      <x:c r="N257" s="61" t="n">
        <x:f>IF(OR(H257="",E257=0),"",K257/E257)</x:f>
        <x:v>0.23170731707317074</x:v>
      </x:c>
    </x:row>
    <x:row r="258">
      <x:c r="A258" s="28" t="n">
        <x:v>40833</x:v>
      </x:c>
      <x:c r="B258" s="23" t="n">
        <x:v>46</x:v>
      </x:c>
      <x:c r="C258" s="23" t="str">
        <x:v>23166</x:v>
      </x:c>
      <x:c r="D258" s="23" t="str">
        <x:v>MEDIUM CERAMIC TOP STORAGE JAR</x:v>
      </x:c>
      <x:c r="E258" s="34" t="n">
        <x:v>57</x:v>
      </x:c>
      <x:c r="F258" s="55" t="n">
        <x:v>72.46</x:v>
      </x:c>
      <x:c r="G258" s="58" t="n">
        <x:f>E257</x:f>
        <x:v>82</x:v>
      </x:c>
      <x:c r="H258" s="58" t="n">
        <x:f>AVERAGE(E254:E257)</x:f>
        <x:v>73.75</x:v>
      </x:c>
      <x:c r="I258" s="58" t="n">
        <x:f>AVERAGE(E250:E257)</x:f>
        <x:v>71.125</x:v>
      </x:c>
      <x:c r="J258" s="58" t="n">
        <x:f>IF(G258="","",ABS(E258-G258))</x:f>
        <x:v>25</x:v>
      </x:c>
      <x:c r="K258" s="58" t="n">
        <x:f>IF(H258="","",ABS(E258-H258))</x:f>
        <x:v>16.75</x:v>
      </x:c>
      <x:c r="L258" s="58" t="n">
        <x:f>IF(I258="","",ABS(E258-I258))</x:f>
        <x:v>14.125</x:v>
      </x:c>
      <x:c r="M258" s="23" t="str">
        <x:f>IF(B258&gt;44,"Validation","Training")</x:f>
        <x:v>Validation</x:v>
      </x:c>
      <x:c r="N258" s="61" t="n">
        <x:f>IF(OR(H258="",E258=0),"",K258/E258)</x:f>
        <x:v>0.29385964912280704</x:v>
      </x:c>
    </x:row>
    <x:row r="259">
      <x:c r="A259" s="28" t="n">
        <x:v>40840</x:v>
      </x:c>
      <x:c r="B259" s="23" t="n">
        <x:v>47</x:v>
      </x:c>
      <x:c r="C259" s="23" t="str">
        <x:v>23166</x:v>
      </x:c>
      <x:c r="D259" s="23" t="str">
        <x:v>MEDIUM CERAMIC TOP STORAGE JAR</x:v>
      </x:c>
      <x:c r="E259" s="34" t="n">
        <x:v>63</x:v>
      </x:c>
      <x:c r="F259" s="55" t="n">
        <x:v>84.8</x:v>
      </x:c>
      <x:c r="G259" s="58" t="n">
        <x:f>E258</x:f>
        <x:v>57</x:v>
      </x:c>
      <x:c r="H259" s="58" t="n">
        <x:f>AVERAGE(E255:E258)</x:f>
        <x:v>65</x:v>
      </x:c>
      <x:c r="I259" s="58" t="n">
        <x:f>AVERAGE(E251:E258)</x:f>
        <x:v>68</x:v>
      </x:c>
      <x:c r="J259" s="58" t="n">
        <x:f>IF(G259="","",ABS(E259-G259))</x:f>
        <x:v>6</x:v>
      </x:c>
      <x:c r="K259" s="58" t="n">
        <x:f>IF(H259="","",ABS(E259-H259))</x:f>
        <x:v>2</x:v>
      </x:c>
      <x:c r="L259" s="58" t="n">
        <x:f>IF(I259="","",ABS(E259-I259))</x:f>
        <x:v>5</x:v>
      </x:c>
      <x:c r="M259" s="23" t="str">
        <x:f>IF(B259&gt;44,"Validation","Training")</x:f>
        <x:v>Validation</x:v>
      </x:c>
      <x:c r="N259" s="61" t="n">
        <x:f>IF(OR(H259="",E259=0),"",K259/E259)</x:f>
        <x:v>0.031746031746031744</x:v>
      </x:c>
    </x:row>
    <x:row r="260">
      <x:c r="A260" s="28" t="n">
        <x:v>40847</x:v>
      </x:c>
      <x:c r="B260" s="23" t="n">
        <x:v>48</x:v>
      </x:c>
      <x:c r="C260" s="23" t="str">
        <x:v>23166</x:v>
      </x:c>
      <x:c r="D260" s="23" t="str">
        <x:v>MEDIUM CERAMIC TOP STORAGE JAR</x:v>
      </x:c>
      <x:c r="E260" s="34" t="n">
        <x:v>33</x:v>
      </x:c>
      <x:c r="F260" s="55" t="n">
        <x:v>43.67</x:v>
      </x:c>
      <x:c r="G260" s="58" t="n">
        <x:f>E259</x:f>
        <x:v>63</x:v>
      </x:c>
      <x:c r="H260" s="58" t="n">
        <x:f>AVERAGE(E256:E259)</x:f>
        <x:v>61</x:v>
      </x:c>
      <x:c r="I260" s="58" t="n">
        <x:f>AVERAGE(E252:E259)</x:f>
        <x:v>72.875</x:v>
      </x:c>
      <x:c r="J260" s="58" t="n">
        <x:f>IF(G260="","",ABS(E260-G260))</x:f>
        <x:v>30</x:v>
      </x:c>
      <x:c r="K260" s="58" t="n">
        <x:f>IF(H260="","",ABS(E260-H260))</x:f>
        <x:v>28</x:v>
      </x:c>
      <x:c r="L260" s="58" t="n">
        <x:f>IF(I260="","",ABS(E260-I260))</x:f>
        <x:v>39.875</x:v>
      </x:c>
      <x:c r="M260" s="23" t="str">
        <x:f>IF(B260&gt;44,"Validation","Training")</x:f>
        <x:v>Validation</x:v>
      </x:c>
      <x:c r="N260" s="61" t="n">
        <x:f>IF(OR(H260="",E260=0),"",K260/E260)</x:f>
        <x:v>0.8484848484848485</x:v>
      </x:c>
    </x:row>
    <x:row r="261">
      <x:c r="A261" s="28" t="n">
        <x:v>40854</x:v>
      </x:c>
      <x:c r="B261" s="23" t="n">
        <x:v>49</x:v>
      </x:c>
      <x:c r="C261" s="23" t="str">
        <x:v>23166</x:v>
      </x:c>
      <x:c r="D261" s="23" t="str">
        <x:v>MEDIUM CERAMIC TOP STORAGE JAR</x:v>
      </x:c>
      <x:c r="E261" s="34" t="n">
        <x:v>85</x:v>
      </x:c>
      <x:c r="F261" s="55" t="n">
        <x:v>113.11</x:v>
      </x:c>
      <x:c r="G261" s="58" t="n">
        <x:f>E260</x:f>
        <x:v>33</x:v>
      </x:c>
      <x:c r="H261" s="58" t="n">
        <x:f>AVERAGE(E257:E260)</x:f>
        <x:v>58.75</x:v>
      </x:c>
      <x:c r="I261" s="58" t="n">
        <x:f>AVERAGE(E253:E260)</x:f>
        <x:v>60.875</x:v>
      </x:c>
      <x:c r="J261" s="58" t="n">
        <x:f>IF(G261="","",ABS(E261-G261))</x:f>
        <x:v>52</x:v>
      </x:c>
      <x:c r="K261" s="58" t="n">
        <x:f>IF(H261="","",ABS(E261-H261))</x:f>
        <x:v>26.25</x:v>
      </x:c>
      <x:c r="L261" s="58" t="n">
        <x:f>IF(I261="","",ABS(E261-I261))</x:f>
        <x:v>24.125</x:v>
      </x:c>
      <x:c r="M261" s="23" t="str">
        <x:f>IF(B261&gt;44,"Validation","Training")</x:f>
        <x:v>Validation</x:v>
      </x:c>
      <x:c r="N261" s="61" t="n">
        <x:f>IF(OR(H261="",E261=0),"",K261/E261)</x:f>
        <x:v>0.3088235294117647</x:v>
      </x:c>
    </x:row>
    <x:row r="262">
      <x:c r="A262" s="28" t="n">
        <x:v>40861</x:v>
      </x:c>
      <x:c r="B262" s="23" t="n">
        <x:v>50</x:v>
      </x:c>
      <x:c r="C262" s="23" t="str">
        <x:v>23166</x:v>
      </x:c>
      <x:c r="D262" s="23" t="str">
        <x:v>MEDIUM CERAMIC TOP STORAGE JAR</x:v>
      </x:c>
      <x:c r="E262" s="34" t="n">
        <x:v>36</x:v>
      </x:c>
      <x:c r="F262" s="55" t="n">
        <x:v>48.63</x:v>
      </x:c>
      <x:c r="G262" s="58" t="n">
        <x:f>E261</x:f>
        <x:v>85</x:v>
      </x:c>
      <x:c r="H262" s="58" t="n">
        <x:f>AVERAGE(E258:E261)</x:f>
        <x:v>59.5</x:v>
      </x:c>
      <x:c r="I262" s="58" t="n">
        <x:f>AVERAGE(E254:E261)</x:f>
        <x:v>66.625</x:v>
      </x:c>
      <x:c r="J262" s="58" t="n">
        <x:f>IF(G262="","",ABS(E262-G262))</x:f>
        <x:v>49</x:v>
      </x:c>
      <x:c r="K262" s="58" t="n">
        <x:f>IF(H262="","",ABS(E262-H262))</x:f>
        <x:v>23.5</x:v>
      </x:c>
      <x:c r="L262" s="58" t="n">
        <x:f>IF(I262="","",ABS(E262-I262))</x:f>
        <x:v>30.625</x:v>
      </x:c>
      <x:c r="M262" s="23" t="str">
        <x:f>IF(B262&gt;44,"Validation","Training")</x:f>
        <x:v>Validation</x:v>
      </x:c>
      <x:c r="N262" s="61" t="n">
        <x:f>IF(OR(H262="",E262=0),"",K262/E262)</x:f>
        <x:v>0.6527777777777778</x:v>
      </x:c>
    </x:row>
    <x:row r="263">
      <x:c r="A263" s="28" t="n">
        <x:v>40868</x:v>
      </x:c>
      <x:c r="B263" s="23" t="n">
        <x:v>51</x:v>
      </x:c>
      <x:c r="C263" s="23" t="str">
        <x:v>23166</x:v>
      </x:c>
      <x:c r="D263" s="23" t="str">
        <x:v>MEDIUM CERAMIC TOP STORAGE JAR</x:v>
      </x:c>
      <x:c r="E263" s="34" t="n">
        <x:v>422</x:v>
      </x:c>
      <x:c r="F263" s="55" t="n">
        <x:v>473.07</x:v>
      </x:c>
      <x:c r="G263" s="58" t="n">
        <x:f>E262</x:f>
        <x:v>36</x:v>
      </x:c>
      <x:c r="H263" s="58" t="n">
        <x:f>AVERAGE(E259:E262)</x:f>
        <x:v>54.25</x:v>
      </x:c>
      <x:c r="I263" s="58" t="n">
        <x:f>AVERAGE(E255:E262)</x:f>
        <x:v>59.625</x:v>
      </x:c>
      <x:c r="J263" s="58" t="n">
        <x:f>IF(G263="","",ABS(E263-G263))</x:f>
        <x:v>386</x:v>
      </x:c>
      <x:c r="K263" s="58" t="n">
        <x:f>IF(H263="","",ABS(E263-H263))</x:f>
        <x:v>367.75</x:v>
      </x:c>
      <x:c r="L263" s="58" t="n">
        <x:f>IF(I263="","",ABS(E263-I263))</x:f>
        <x:v>362.375</x:v>
      </x:c>
      <x:c r="M263" s="23" t="str">
        <x:f>IF(B263&gt;44,"Validation","Training")</x:f>
        <x:v>Validation</x:v>
      </x:c>
      <x:c r="N263" s="61" t="n">
        <x:f>IF(OR(H263="",E263=0),"",K263/E263)</x:f>
        <x:v>0.8714454976303317</x:v>
      </x:c>
    </x:row>
    <x:row r="264">
      <x:c r="A264" s="28" t="n">
        <x:v>40875</x:v>
      </x:c>
      <x:c r="B264" s="23" t="n">
        <x:v>52</x:v>
      </x:c>
      <x:c r="C264" s="23" t="str">
        <x:v>23166</x:v>
      </x:c>
      <x:c r="D264" s="23" t="str">
        <x:v>MEDIUM CERAMIC TOP STORAGE JAR</x:v>
      </x:c>
      <x:c r="E264" s="34" t="n">
        <x:v>119</x:v>
      </x:c>
      <x:c r="F264" s="55" t="n">
        <x:v>150.77</x:v>
      </x:c>
      <x:c r="G264" s="58" t="n">
        <x:f>E263</x:f>
        <x:v>422</x:v>
      </x:c>
      <x:c r="H264" s="58" t="n">
        <x:f>AVERAGE(E260:E263)</x:f>
        <x:v>144</x:v>
      </x:c>
      <x:c r="I264" s="58" t="n">
        <x:f>AVERAGE(E256:E263)</x:f>
        <x:v>102.5</x:v>
      </x:c>
      <x:c r="J264" s="58" t="n">
        <x:f>IF(G264="","",ABS(E264-G264))</x:f>
        <x:v>303</x:v>
      </x:c>
      <x:c r="K264" s="58" t="n">
        <x:f>IF(H264="","",ABS(E264-H264))</x:f>
        <x:v>25</x:v>
      </x:c>
      <x:c r="L264" s="58" t="n">
        <x:f>IF(I264="","",ABS(E264-I264))</x:f>
        <x:v>16.5</x:v>
      </x:c>
      <x:c r="M264" s="23" t="str">
        <x:f>IF(B264&gt;44,"Validation","Training")</x:f>
        <x:v>Validation</x:v>
      </x:c>
      <x:c r="N264" s="61" t="n">
        <x:f>IF(OR(H264="",E264=0),"",K264/E264)</x:f>
        <x:v>0.21008403361344538</x:v>
      </x:c>
    </x:row>
    <x:row r="265">
      <x:c r="A265" s="28" t="n">
        <x:v>40518</x:v>
      </x:c>
      <x:c r="B265" s="23" t="n">
        <x:v>1</x:v>
      </x:c>
      <x:c r="C265" s="23" t="str">
        <x:v>23084</x:v>
      </x:c>
      <x:c r="D265" s="23" t="str">
        <x:v>RABBIT NIGHT LIGHT</x:v>
      </x:c>
      <x:c r="E265" s="34" t="n">
        <x:v>0</x:v>
      </x:c>
      <x:c r="F265" s="55" t="n">
        <x:v>0</x:v>
      </x:c>
      <x:c r="G265" s="58" t="str">
        <x:f>""</x:f>
      </x:c>
      <x:c r="H265" s="58" t="str">
        <x:f>""</x:f>
      </x:c>
      <x:c r="I265" s="58" t="str">
        <x:f>""</x:f>
      </x:c>
      <x:c r="J265" s="58" t="str">
        <x:f>IF(G265="","",ABS(E265-G265))</x:f>
      </x:c>
      <x:c r="K265" s="58" t="str">
        <x:f>IF(H265="","",ABS(E265-H265))</x:f>
      </x:c>
      <x:c r="L265" s="58" t="str">
        <x:f>IF(I265="","",ABS(E265-I265))</x:f>
      </x:c>
      <x:c r="M265" s="23" t="str">
        <x:f>IF(B265&gt;44,"Validation","Training")</x:f>
        <x:v>Training</x:v>
      </x:c>
      <x:c r="N265" s="61" t="str">
        <x:f>IF(OR(H265="",E265=0),"",K265/E265)</x:f>
      </x:c>
    </x:row>
    <x:row r="266">
      <x:c r="A266" s="28" t="n">
        <x:v>40525</x:v>
      </x:c>
      <x:c r="B266" s="23" t="n">
        <x:v>2</x:v>
      </x:c>
      <x:c r="C266" s="23" t="str">
        <x:v>23084</x:v>
      </x:c>
      <x:c r="D266" s="23" t="str">
        <x:v>RABBIT NIGHT LIGHT</x:v>
      </x:c>
      <x:c r="E266" s="34" t="n">
        <x:v>0</x:v>
      </x:c>
      <x:c r="F266" s="55" t="n">
        <x:v>0</x:v>
      </x:c>
      <x:c r="G266" s="58" t="n">
        <x:f>E265</x:f>
        <x:v>0</x:v>
      </x:c>
      <x:c r="H266" s="58" t="str">
        <x:f>""</x:f>
      </x:c>
      <x:c r="I266" s="58" t="str">
        <x:f>""</x:f>
      </x:c>
      <x:c r="J266" s="58" t="str">
        <x:f>IF(G266="","",ABS(E266-G266))</x:f>
      </x:c>
      <x:c r="K266" s="58" t="str">
        <x:f>IF(H266="","",ABS(E266-H266))</x:f>
      </x:c>
      <x:c r="L266" s="58" t="str">
        <x:f>IF(I266="","",ABS(E266-I266))</x:f>
      </x:c>
      <x:c r="M266" s="23" t="str">
        <x:f>IF(B266&gt;44,"Validation","Training")</x:f>
        <x:v>Training</x:v>
      </x:c>
      <x:c r="N266" s="61" t="str">
        <x:f>IF(OR(H266="",E266=0),"",K266/E266)</x:f>
      </x:c>
    </x:row>
    <x:row r="267">
      <x:c r="A267" s="28" t="n">
        <x:v>40532</x:v>
      </x:c>
      <x:c r="B267" s="23" t="n">
        <x:v>3</x:v>
      </x:c>
      <x:c r="C267" s="23" t="str">
        <x:v>23084</x:v>
      </x:c>
      <x:c r="D267" s="23" t="str">
        <x:v>RABBIT NIGHT LIGHT</x:v>
      </x:c>
      <x:c r="E267" s="34" t="n">
        <x:v>0</x:v>
      </x:c>
      <x:c r="F267" s="55" t="n">
        <x:v>0</x:v>
      </x:c>
      <x:c r="G267" s="58" t="n">
        <x:f>E266</x:f>
        <x:v>0</x:v>
      </x:c>
      <x:c r="H267" s="58" t="str">
        <x:f>""</x:f>
      </x:c>
      <x:c r="I267" s="58" t="str">
        <x:f>""</x:f>
      </x:c>
      <x:c r="J267" s="58" t="str">
        <x:f>IF(G267="","",ABS(E267-G267))</x:f>
      </x:c>
      <x:c r="K267" s="58" t="str">
        <x:f>IF(H267="","",ABS(E267-H267))</x:f>
      </x:c>
      <x:c r="L267" s="58" t="str">
        <x:f>IF(I267="","",ABS(E267-I267))</x:f>
      </x:c>
      <x:c r="M267" s="23" t="str">
        <x:f>IF(B267&gt;44,"Validation","Training")</x:f>
        <x:v>Training</x:v>
      </x:c>
      <x:c r="N267" s="61" t="str">
        <x:f>IF(OR(H267="",E267=0),"",K267/E267)</x:f>
      </x:c>
    </x:row>
    <x:row r="268">
      <x:c r="A268" s="28" t="n">
        <x:v>40539</x:v>
      </x:c>
      <x:c r="B268" s="23" t="n">
        <x:v>4</x:v>
      </x:c>
      <x:c r="C268" s="23" t="str">
        <x:v>23084</x:v>
      </x:c>
      <x:c r="D268" s="23" t="str">
        <x:v>RABBIT NIGHT LIGHT</x:v>
      </x:c>
      <x:c r="E268" s="34" t="n">
        <x:v>0</x:v>
      </x:c>
      <x:c r="F268" s="55" t="n">
        <x:v>0</x:v>
      </x:c>
      <x:c r="G268" s="58" t="n">
        <x:f>E267</x:f>
        <x:v>0</x:v>
      </x:c>
      <x:c r="H268" s="58" t="str">
        <x:f>""</x:f>
      </x:c>
      <x:c r="I268" s="58" t="str">
        <x:f>""</x:f>
      </x:c>
      <x:c r="J268" s="58" t="str">
        <x:f>IF(G268="","",ABS(E268-G268))</x:f>
      </x:c>
      <x:c r="K268" s="58" t="str">
        <x:f>IF(H268="","",ABS(E268-H268))</x:f>
      </x:c>
      <x:c r="L268" s="58" t="str">
        <x:f>IF(I268="","",ABS(E268-I268))</x:f>
      </x:c>
      <x:c r="M268" s="23" t="str">
        <x:f>IF(B268&gt;44,"Validation","Training")</x:f>
        <x:v>Training</x:v>
      </x:c>
      <x:c r="N268" s="61" t="str">
        <x:f>IF(OR(H268="",E268=0),"",K268/E268)</x:f>
      </x:c>
    </x:row>
    <x:row r="269">
      <x:c r="A269" s="28" t="n">
        <x:v>40546</x:v>
      </x:c>
      <x:c r="B269" s="23" t="n">
        <x:v>5</x:v>
      </x:c>
      <x:c r="C269" s="23" t="str">
        <x:v>23084</x:v>
      </x:c>
      <x:c r="D269" s="23" t="str">
        <x:v>RABBIT NIGHT LIGHT</x:v>
      </x:c>
      <x:c r="E269" s="34" t="n">
        <x:v>0</x:v>
      </x:c>
      <x:c r="F269" s="55" t="n">
        <x:v>0</x:v>
      </x:c>
      <x:c r="G269" s="58" t="n">
        <x:f>E268</x:f>
        <x:v>0</x:v>
      </x:c>
      <x:c r="H269" s="58" t="n">
        <x:f>AVERAGE(E265:E268)</x:f>
        <x:v>0</x:v>
      </x:c>
      <x:c r="I269" s="58" t="str">
        <x:f>""</x:f>
      </x:c>
      <x:c r="J269" s="58" t="str">
        <x:f>IF(G269="","",ABS(E269-G269))</x:f>
      </x:c>
      <x:c r="K269" s="58" t="str">
        <x:f>IF(H269="","",ABS(E269-H269))</x:f>
      </x:c>
      <x:c r="L269" s="58" t="str">
        <x:f>IF(I269="","",ABS(E269-I269))</x:f>
      </x:c>
      <x:c r="M269" s="23" t="str">
        <x:f>IF(B269&gt;44,"Validation","Training")</x:f>
        <x:v>Training</x:v>
      </x:c>
      <x:c r="N269" s="61" t="str">
        <x:f>IF(OR(H269="",E269=0),"",K269/E269)</x:f>
      </x:c>
    </x:row>
    <x:row r="270">
      <x:c r="A270" s="28" t="n">
        <x:v>40553</x:v>
      </x:c>
      <x:c r="B270" s="23" t="n">
        <x:v>6</x:v>
      </x:c>
      <x:c r="C270" s="23" t="str">
        <x:v>23084</x:v>
      </x:c>
      <x:c r="D270" s="23" t="str">
        <x:v>RABBIT NIGHT LIGHT</x:v>
      </x:c>
      <x:c r="E270" s="34" t="n">
        <x:v>0</x:v>
      </x:c>
      <x:c r="F270" s="55" t="n">
        <x:v>0</x:v>
      </x:c>
      <x:c r="G270" s="58" t="n">
        <x:f>E269</x:f>
        <x:v>0</x:v>
      </x:c>
      <x:c r="H270" s="58" t="n">
        <x:f>AVERAGE(E266:E269)</x:f>
        <x:v>0</x:v>
      </x:c>
      <x:c r="I270" s="58" t="str">
        <x:f>""</x:f>
      </x:c>
      <x:c r="J270" s="58" t="str">
        <x:f>IF(G270="","",ABS(E270-G270))</x:f>
      </x:c>
      <x:c r="K270" s="58" t="str">
        <x:f>IF(H270="","",ABS(E270-H270))</x:f>
      </x:c>
      <x:c r="L270" s="58" t="str">
        <x:f>IF(I270="","",ABS(E270-I270))</x:f>
      </x:c>
      <x:c r="M270" s="23" t="str">
        <x:f>IF(B270&gt;44,"Validation","Training")</x:f>
        <x:v>Training</x:v>
      </x:c>
      <x:c r="N270" s="61" t="str">
        <x:f>IF(OR(H270="",E270=0),"",K270/E270)</x:f>
      </x:c>
    </x:row>
    <x:row r="271">
      <x:c r="A271" s="28" t="n">
        <x:v>40560</x:v>
      </x:c>
      <x:c r="B271" s="23" t="n">
        <x:v>7</x:v>
      </x:c>
      <x:c r="C271" s="23" t="str">
        <x:v>23084</x:v>
      </x:c>
      <x:c r="D271" s="23" t="str">
        <x:v>RABBIT NIGHT LIGHT</x:v>
      </x:c>
      <x:c r="E271" s="34" t="n">
        <x:v>0</x:v>
      </x:c>
      <x:c r="F271" s="55" t="n">
        <x:v>0</x:v>
      </x:c>
      <x:c r="G271" s="58" t="n">
        <x:f>E270</x:f>
        <x:v>0</x:v>
      </x:c>
      <x:c r="H271" s="58" t="n">
        <x:f>AVERAGE(E267:E270)</x:f>
        <x:v>0</x:v>
      </x:c>
      <x:c r="I271" s="58" t="str">
        <x:f>""</x:f>
      </x:c>
      <x:c r="J271" s="58" t="str">
        <x:f>IF(G271="","",ABS(E271-G271))</x:f>
      </x:c>
      <x:c r="K271" s="58" t="str">
        <x:f>IF(H271="","",ABS(E271-H271))</x:f>
      </x:c>
      <x:c r="L271" s="58" t="str">
        <x:f>IF(I271="","",ABS(E271-I271))</x:f>
      </x:c>
      <x:c r="M271" s="23" t="str">
        <x:f>IF(B271&gt;44,"Validation","Training")</x:f>
        <x:v>Training</x:v>
      </x:c>
      <x:c r="N271" s="61" t="str">
        <x:f>IF(OR(H271="",E271=0),"",K271/E271)</x:f>
      </x:c>
    </x:row>
    <x:row r="272">
      <x:c r="A272" s="28" t="n">
        <x:v>40567</x:v>
      </x:c>
      <x:c r="B272" s="23" t="n">
        <x:v>8</x:v>
      </x:c>
      <x:c r="C272" s="23" t="str">
        <x:v>23084</x:v>
      </x:c>
      <x:c r="D272" s="23" t="str">
        <x:v>RABBIT NIGHT LIGHT</x:v>
      </x:c>
      <x:c r="E272" s="34" t="n">
        <x:v>0</x:v>
      </x:c>
      <x:c r="F272" s="55" t="n">
        <x:v>0</x:v>
      </x:c>
      <x:c r="G272" s="58" t="n">
        <x:f>E271</x:f>
        <x:v>0</x:v>
      </x:c>
      <x:c r="H272" s="58" t="n">
        <x:f>AVERAGE(E268:E271)</x:f>
        <x:v>0</x:v>
      </x:c>
      <x:c r="I272" s="58" t="str">
        <x:f>""</x:f>
      </x:c>
      <x:c r="J272" s="58" t="str">
        <x:f>IF(G272="","",ABS(E272-G272))</x:f>
      </x:c>
      <x:c r="K272" s="58" t="str">
        <x:f>IF(H272="","",ABS(E272-H272))</x:f>
      </x:c>
      <x:c r="L272" s="58" t="str">
        <x:f>IF(I272="","",ABS(E272-I272))</x:f>
      </x:c>
      <x:c r="M272" s="23" t="str">
        <x:f>IF(B272&gt;44,"Validation","Training")</x:f>
        <x:v>Training</x:v>
      </x:c>
      <x:c r="N272" s="61" t="str">
        <x:f>IF(OR(H272="",E272=0),"",K272/E272)</x:f>
      </x:c>
    </x:row>
    <x:row r="273">
      <x:c r="A273" s="28" t="n">
        <x:v>40574</x:v>
      </x:c>
      <x:c r="B273" s="23" t="n">
        <x:v>9</x:v>
      </x:c>
      <x:c r="C273" s="23" t="str">
        <x:v>23084</x:v>
      </x:c>
      <x:c r="D273" s="23" t="str">
        <x:v>RABBIT NIGHT LIGHT</x:v>
      </x:c>
      <x:c r="E273" s="34" t="n">
        <x:v>0</x:v>
      </x:c>
      <x:c r="F273" s="55" t="n">
        <x:v>0</x:v>
      </x:c>
      <x:c r="G273" s="58" t="n">
        <x:f>E272</x:f>
        <x:v>0</x:v>
      </x:c>
      <x:c r="H273" s="58" t="n">
        <x:f>AVERAGE(E269:E272)</x:f>
        <x:v>0</x:v>
      </x:c>
      <x:c r="I273" s="58" t="n">
        <x:f>AVERAGE(E265:E272)</x:f>
        <x:v>0</x:v>
      </x:c>
      <x:c r="J273" s="58" t="str">
        <x:f>IF(G273="","",ABS(E273-G273))</x:f>
      </x:c>
      <x:c r="K273" s="58" t="str">
        <x:f>IF(H273="","",ABS(E273-H273))</x:f>
      </x:c>
      <x:c r="L273" s="58" t="str">
        <x:f>IF(I273="","",ABS(E273-I273))</x:f>
      </x:c>
      <x:c r="M273" s="23" t="str">
        <x:f>IF(B273&gt;44,"Validation","Training")</x:f>
        <x:v>Training</x:v>
      </x:c>
      <x:c r="N273" s="61" t="str">
        <x:f>IF(OR(H273="",E273=0),"",K273/E273)</x:f>
      </x:c>
    </x:row>
    <x:row r="274">
      <x:c r="A274" s="28" t="n">
        <x:v>40581</x:v>
      </x:c>
      <x:c r="B274" s="23" t="n">
        <x:v>10</x:v>
      </x:c>
      <x:c r="C274" s="23" t="str">
        <x:v>23084</x:v>
      </x:c>
      <x:c r="D274" s="23" t="str">
        <x:v>RABBIT NIGHT LIGHT</x:v>
      </x:c>
      <x:c r="E274" s="34" t="n">
        <x:v>0</x:v>
      </x:c>
      <x:c r="F274" s="55" t="n">
        <x:v>0</x:v>
      </x:c>
      <x:c r="G274" s="58" t="n">
        <x:f>E273</x:f>
        <x:v>0</x:v>
      </x:c>
      <x:c r="H274" s="58" t="n">
        <x:f>AVERAGE(E270:E273)</x:f>
        <x:v>0</x:v>
      </x:c>
      <x:c r="I274" s="58" t="n">
        <x:f>AVERAGE(E266:E273)</x:f>
        <x:v>0</x:v>
      </x:c>
      <x:c r="J274" s="58" t="str">
        <x:f>IF(G274="","",ABS(E274-G274))</x:f>
      </x:c>
      <x:c r="K274" s="58" t="str">
        <x:f>IF(H274="","",ABS(E274-H274))</x:f>
      </x:c>
      <x:c r="L274" s="58" t="str">
        <x:f>IF(I274="","",ABS(E274-I274))</x:f>
      </x:c>
      <x:c r="M274" s="23" t="str">
        <x:f>IF(B274&gt;44,"Validation","Training")</x:f>
        <x:v>Training</x:v>
      </x:c>
      <x:c r="N274" s="61" t="str">
        <x:f>IF(OR(H274="",E274=0),"",K274/E274)</x:f>
      </x:c>
    </x:row>
    <x:row r="275">
      <x:c r="A275" s="28" t="n">
        <x:v>40588</x:v>
      </x:c>
      <x:c r="B275" s="23" t="n">
        <x:v>11</x:v>
      </x:c>
      <x:c r="C275" s="23" t="str">
        <x:v>23084</x:v>
      </x:c>
      <x:c r="D275" s="23" t="str">
        <x:v>RABBIT NIGHT LIGHT</x:v>
      </x:c>
      <x:c r="E275" s="34" t="n">
        <x:v>0</x:v>
      </x:c>
      <x:c r="F275" s="55" t="n">
        <x:v>0</x:v>
      </x:c>
      <x:c r="G275" s="58" t="n">
        <x:f>E274</x:f>
        <x:v>0</x:v>
      </x:c>
      <x:c r="H275" s="58" t="n">
        <x:f>AVERAGE(E271:E274)</x:f>
        <x:v>0</x:v>
      </x:c>
      <x:c r="I275" s="58" t="n">
        <x:f>AVERAGE(E267:E274)</x:f>
        <x:v>0</x:v>
      </x:c>
      <x:c r="J275" s="58" t="str">
        <x:f>IF(G275="","",ABS(E275-G275))</x:f>
      </x:c>
      <x:c r="K275" s="58" t="str">
        <x:f>IF(H275="","",ABS(E275-H275))</x:f>
      </x:c>
      <x:c r="L275" s="58" t="str">
        <x:f>IF(I275="","",ABS(E275-I275))</x:f>
      </x:c>
      <x:c r="M275" s="23" t="str">
        <x:f>IF(B275&gt;44,"Validation","Training")</x:f>
        <x:v>Training</x:v>
      </x:c>
      <x:c r="N275" s="61" t="str">
        <x:f>IF(OR(H275="",E275=0),"",K275/E275)</x:f>
      </x:c>
    </x:row>
    <x:row r="276">
      <x:c r="A276" s="28" t="n">
        <x:v>40595</x:v>
      </x:c>
      <x:c r="B276" s="23" t="n">
        <x:v>12</x:v>
      </x:c>
      <x:c r="C276" s="23" t="str">
        <x:v>23084</x:v>
      </x:c>
      <x:c r="D276" s="23" t="str">
        <x:v>RABBIT NIGHT LIGHT</x:v>
      </x:c>
      <x:c r="E276" s="34" t="n">
        <x:v>0</x:v>
      </x:c>
      <x:c r="F276" s="55" t="n">
        <x:v>0</x:v>
      </x:c>
      <x:c r="G276" s="58" t="n">
        <x:f>E275</x:f>
        <x:v>0</x:v>
      </x:c>
      <x:c r="H276" s="58" t="n">
        <x:f>AVERAGE(E272:E275)</x:f>
        <x:v>0</x:v>
      </x:c>
      <x:c r="I276" s="58" t="n">
        <x:f>AVERAGE(E268:E275)</x:f>
        <x:v>0</x:v>
      </x:c>
      <x:c r="J276" s="58" t="str">
        <x:f>IF(G276="","",ABS(E276-G276))</x:f>
      </x:c>
      <x:c r="K276" s="58" t="str">
        <x:f>IF(H276="","",ABS(E276-H276))</x:f>
      </x:c>
      <x:c r="L276" s="58" t="str">
        <x:f>IF(I276="","",ABS(E276-I276))</x:f>
      </x:c>
      <x:c r="M276" s="23" t="str">
        <x:f>IF(B276&gt;44,"Validation","Training")</x:f>
        <x:v>Training</x:v>
      </x:c>
      <x:c r="N276" s="61" t="str">
        <x:f>IF(OR(H276="",E276=0),"",K276/E276)</x:f>
      </x:c>
    </x:row>
    <x:row r="277">
      <x:c r="A277" s="28" t="n">
        <x:v>40602</x:v>
      </x:c>
      <x:c r="B277" s="23" t="n">
        <x:v>13</x:v>
      </x:c>
      <x:c r="C277" s="23" t="str">
        <x:v>23084</x:v>
      </x:c>
      <x:c r="D277" s="23" t="str">
        <x:v>RABBIT NIGHT LIGHT</x:v>
      </x:c>
      <x:c r="E277" s="34" t="n">
        <x:v>0</x:v>
      </x:c>
      <x:c r="F277" s="55" t="n">
        <x:v>0</x:v>
      </x:c>
      <x:c r="G277" s="58" t="n">
        <x:f>E276</x:f>
        <x:v>0</x:v>
      </x:c>
      <x:c r="H277" s="58" t="n">
        <x:f>AVERAGE(E273:E276)</x:f>
        <x:v>0</x:v>
      </x:c>
      <x:c r="I277" s="58" t="n">
        <x:f>AVERAGE(E269:E276)</x:f>
        <x:v>0</x:v>
      </x:c>
      <x:c r="J277" s="58" t="str">
        <x:f>IF(G277="","",ABS(E277-G277))</x:f>
      </x:c>
      <x:c r="K277" s="58" t="str">
        <x:f>IF(H277="","",ABS(E277-H277))</x:f>
      </x:c>
      <x:c r="L277" s="58" t="str">
        <x:f>IF(I277="","",ABS(E277-I277))</x:f>
      </x:c>
      <x:c r="M277" s="23" t="str">
        <x:f>IF(B277&gt;44,"Validation","Training")</x:f>
        <x:v>Training</x:v>
      </x:c>
      <x:c r="N277" s="61" t="str">
        <x:f>IF(OR(H277="",E277=0),"",K277/E277)</x:f>
      </x:c>
    </x:row>
    <x:row r="278">
      <x:c r="A278" s="28" t="n">
        <x:v>40609</x:v>
      </x:c>
      <x:c r="B278" s="23" t="n">
        <x:v>14</x:v>
      </x:c>
      <x:c r="C278" s="23" t="str">
        <x:v>23084</x:v>
      </x:c>
      <x:c r="D278" s="23" t="str">
        <x:v>RABBIT NIGHT LIGHT</x:v>
      </x:c>
      <x:c r="E278" s="34" t="n">
        <x:v>0</x:v>
      </x:c>
      <x:c r="F278" s="55" t="n">
        <x:v>0</x:v>
      </x:c>
      <x:c r="G278" s="58" t="n">
        <x:f>E277</x:f>
        <x:v>0</x:v>
      </x:c>
      <x:c r="H278" s="58" t="n">
        <x:f>AVERAGE(E274:E277)</x:f>
        <x:v>0</x:v>
      </x:c>
      <x:c r="I278" s="58" t="n">
        <x:f>AVERAGE(E270:E277)</x:f>
        <x:v>0</x:v>
      </x:c>
      <x:c r="J278" s="58" t="str">
        <x:f>IF(G278="","",ABS(E278-G278))</x:f>
      </x:c>
      <x:c r="K278" s="58" t="str">
        <x:f>IF(H278="","",ABS(E278-H278))</x:f>
      </x:c>
      <x:c r="L278" s="58" t="str">
        <x:f>IF(I278="","",ABS(E278-I278))</x:f>
      </x:c>
      <x:c r="M278" s="23" t="str">
        <x:f>IF(B278&gt;44,"Validation","Training")</x:f>
        <x:v>Training</x:v>
      </x:c>
      <x:c r="N278" s="61" t="str">
        <x:f>IF(OR(H278="",E278=0),"",K278/E278)</x:f>
      </x:c>
    </x:row>
    <x:row r="279">
      <x:c r="A279" s="28" t="n">
        <x:v>40616</x:v>
      </x:c>
      <x:c r="B279" s="23" t="n">
        <x:v>15</x:v>
      </x:c>
      <x:c r="C279" s="23" t="str">
        <x:v>23084</x:v>
      </x:c>
      <x:c r="D279" s="23" t="str">
        <x:v>RABBIT NIGHT LIGHT</x:v>
      </x:c>
      <x:c r="E279" s="34" t="n">
        <x:v>0</x:v>
      </x:c>
      <x:c r="F279" s="55" t="n">
        <x:v>0</x:v>
      </x:c>
      <x:c r="G279" s="58" t="n">
        <x:f>E278</x:f>
        <x:v>0</x:v>
      </x:c>
      <x:c r="H279" s="58" t="n">
        <x:f>AVERAGE(E275:E278)</x:f>
        <x:v>0</x:v>
      </x:c>
      <x:c r="I279" s="58" t="n">
        <x:f>AVERAGE(E271:E278)</x:f>
        <x:v>0</x:v>
      </x:c>
      <x:c r="J279" s="58" t="str">
        <x:f>IF(G279="","",ABS(E279-G279))</x:f>
      </x:c>
      <x:c r="K279" s="58" t="str">
        <x:f>IF(H279="","",ABS(E279-H279))</x:f>
      </x:c>
      <x:c r="L279" s="58" t="str">
        <x:f>IF(I279="","",ABS(E279-I279))</x:f>
      </x:c>
      <x:c r="M279" s="23" t="str">
        <x:f>IF(B279&gt;44,"Validation","Training")</x:f>
        <x:v>Training</x:v>
      </x:c>
      <x:c r="N279" s="61" t="str">
        <x:f>IF(OR(H279="",E279=0),"",K279/E279)</x:f>
      </x:c>
    </x:row>
    <x:row r="280">
      <x:c r="A280" s="28" t="n">
        <x:v>40623</x:v>
      </x:c>
      <x:c r="B280" s="23" t="n">
        <x:v>16</x:v>
      </x:c>
      <x:c r="C280" s="23" t="str">
        <x:v>23084</x:v>
      </x:c>
      <x:c r="D280" s="23" t="str">
        <x:v>RABBIT NIGHT LIGHT</x:v>
      </x:c>
      <x:c r="E280" s="34" t="n">
        <x:v>0</x:v>
      </x:c>
      <x:c r="F280" s="55" t="n">
        <x:v>0</x:v>
      </x:c>
      <x:c r="G280" s="58" t="n">
        <x:f>E279</x:f>
        <x:v>0</x:v>
      </x:c>
      <x:c r="H280" s="58" t="n">
        <x:f>AVERAGE(E276:E279)</x:f>
        <x:v>0</x:v>
      </x:c>
      <x:c r="I280" s="58" t="n">
        <x:f>AVERAGE(E272:E279)</x:f>
        <x:v>0</x:v>
      </x:c>
      <x:c r="J280" s="58" t="str">
        <x:f>IF(G280="","",ABS(E280-G280))</x:f>
      </x:c>
      <x:c r="K280" s="58" t="str">
        <x:f>IF(H280="","",ABS(E280-H280))</x:f>
      </x:c>
      <x:c r="L280" s="58" t="str">
        <x:f>IF(I280="","",ABS(E280-I280))</x:f>
      </x:c>
      <x:c r="M280" s="23" t="str">
        <x:f>IF(B280&gt;44,"Validation","Training")</x:f>
        <x:v>Training</x:v>
      </x:c>
      <x:c r="N280" s="61" t="str">
        <x:f>IF(OR(H280="",E280=0),"",K280/E280)</x:f>
      </x:c>
    </x:row>
    <x:row r="281">
      <x:c r="A281" s="28" t="n">
        <x:v>40630</x:v>
      </x:c>
      <x:c r="B281" s="23" t="n">
        <x:v>17</x:v>
      </x:c>
      <x:c r="C281" s="23" t="str">
        <x:v>23084</x:v>
      </x:c>
      <x:c r="D281" s="23" t="str">
        <x:v>RABBIT NIGHT LIGHT</x:v>
      </x:c>
      <x:c r="E281" s="34" t="n">
        <x:v>0</x:v>
      </x:c>
      <x:c r="F281" s="55" t="n">
        <x:v>0</x:v>
      </x:c>
      <x:c r="G281" s="58" t="n">
        <x:f>E280</x:f>
        <x:v>0</x:v>
      </x:c>
      <x:c r="H281" s="58" t="n">
        <x:f>AVERAGE(E277:E280)</x:f>
        <x:v>0</x:v>
      </x:c>
      <x:c r="I281" s="58" t="n">
        <x:f>AVERAGE(E273:E280)</x:f>
        <x:v>0</x:v>
      </x:c>
      <x:c r="J281" s="58" t="str">
        <x:f>IF(G281="","",ABS(E281-G281))</x:f>
      </x:c>
      <x:c r="K281" s="58" t="str">
        <x:f>IF(H281="","",ABS(E281-H281))</x:f>
      </x:c>
      <x:c r="L281" s="58" t="str">
        <x:f>IF(I281="","",ABS(E281-I281))</x:f>
      </x:c>
      <x:c r="M281" s="23" t="str">
        <x:f>IF(B281&gt;44,"Validation","Training")</x:f>
        <x:v>Training</x:v>
      </x:c>
      <x:c r="N281" s="61" t="str">
        <x:f>IF(OR(H281="",E281=0),"",K281/E281)</x:f>
      </x:c>
    </x:row>
    <x:row r="282">
      <x:c r="A282" s="28" t="n">
        <x:v>40637</x:v>
      </x:c>
      <x:c r="B282" s="23" t="n">
        <x:v>18</x:v>
      </x:c>
      <x:c r="C282" s="23" t="str">
        <x:v>23084</x:v>
      </x:c>
      <x:c r="D282" s="23" t="str">
        <x:v>RABBIT NIGHT LIGHT</x:v>
      </x:c>
      <x:c r="E282" s="34" t="n">
        <x:v>0</x:v>
      </x:c>
      <x:c r="F282" s="55" t="n">
        <x:v>0</x:v>
      </x:c>
      <x:c r="G282" s="58" t="n">
        <x:f>E281</x:f>
        <x:v>0</x:v>
      </x:c>
      <x:c r="H282" s="58" t="n">
        <x:f>AVERAGE(E278:E281)</x:f>
        <x:v>0</x:v>
      </x:c>
      <x:c r="I282" s="58" t="n">
        <x:f>AVERAGE(E274:E281)</x:f>
        <x:v>0</x:v>
      </x:c>
      <x:c r="J282" s="58" t="str">
        <x:f>IF(G282="","",ABS(E282-G282))</x:f>
      </x:c>
      <x:c r="K282" s="58" t="str">
        <x:f>IF(H282="","",ABS(E282-H282))</x:f>
      </x:c>
      <x:c r="L282" s="58" t="str">
        <x:f>IF(I282="","",ABS(E282-I282))</x:f>
      </x:c>
      <x:c r="M282" s="23" t="str">
        <x:f>IF(B282&gt;44,"Validation","Training")</x:f>
        <x:v>Training</x:v>
      </x:c>
      <x:c r="N282" s="61" t="str">
        <x:f>IF(OR(H282="",E282=0),"",K282/E282)</x:f>
      </x:c>
    </x:row>
    <x:row r="283">
      <x:c r="A283" s="28" t="n">
        <x:v>40644</x:v>
      </x:c>
      <x:c r="B283" s="23" t="n">
        <x:v>19</x:v>
      </x:c>
      <x:c r="C283" s="23" t="str">
        <x:v>23084</x:v>
      </x:c>
      <x:c r="D283" s="23" t="str">
        <x:v>RABBIT NIGHT LIGHT</x:v>
      </x:c>
      <x:c r="E283" s="34" t="n">
        <x:v>0</x:v>
      </x:c>
      <x:c r="F283" s="55" t="n">
        <x:v>0</x:v>
      </x:c>
      <x:c r="G283" s="58" t="n">
        <x:f>E282</x:f>
        <x:v>0</x:v>
      </x:c>
      <x:c r="H283" s="58" t="n">
        <x:f>AVERAGE(E279:E282)</x:f>
        <x:v>0</x:v>
      </x:c>
      <x:c r="I283" s="58" t="n">
        <x:f>AVERAGE(E275:E282)</x:f>
        <x:v>0</x:v>
      </x:c>
      <x:c r="J283" s="58" t="str">
        <x:f>IF(G283="","",ABS(E283-G283))</x:f>
      </x:c>
      <x:c r="K283" s="58" t="str">
        <x:f>IF(H283="","",ABS(E283-H283))</x:f>
      </x:c>
      <x:c r="L283" s="58" t="str">
        <x:f>IF(I283="","",ABS(E283-I283))</x:f>
      </x:c>
      <x:c r="M283" s="23" t="str">
        <x:f>IF(B283&gt;44,"Validation","Training")</x:f>
        <x:v>Training</x:v>
      </x:c>
      <x:c r="N283" s="61" t="str">
        <x:f>IF(OR(H283="",E283=0),"",K283/E283)</x:f>
      </x:c>
    </x:row>
    <x:row r="284">
      <x:c r="A284" s="28" t="n">
        <x:v>40651</x:v>
      </x:c>
      <x:c r="B284" s="23" t="n">
        <x:v>20</x:v>
      </x:c>
      <x:c r="C284" s="23" t="str">
        <x:v>23084</x:v>
      </x:c>
      <x:c r="D284" s="23" t="str">
        <x:v>RABBIT NIGHT LIGHT</x:v>
      </x:c>
      <x:c r="E284" s="34" t="n">
        <x:v>0</x:v>
      </x:c>
      <x:c r="F284" s="55" t="n">
        <x:v>0</x:v>
      </x:c>
      <x:c r="G284" s="58" t="n">
        <x:f>E283</x:f>
        <x:v>0</x:v>
      </x:c>
      <x:c r="H284" s="58" t="n">
        <x:f>AVERAGE(E280:E283)</x:f>
        <x:v>0</x:v>
      </x:c>
      <x:c r="I284" s="58" t="n">
        <x:f>AVERAGE(E276:E283)</x:f>
        <x:v>0</x:v>
      </x:c>
      <x:c r="J284" s="58" t="str">
        <x:f>IF(G284="","",ABS(E284-G284))</x:f>
      </x:c>
      <x:c r="K284" s="58" t="str">
        <x:f>IF(H284="","",ABS(E284-H284))</x:f>
      </x:c>
      <x:c r="L284" s="58" t="str">
        <x:f>IF(I284="","",ABS(E284-I284))</x:f>
      </x:c>
      <x:c r="M284" s="23" t="str">
        <x:f>IF(B284&gt;44,"Validation","Training")</x:f>
        <x:v>Training</x:v>
      </x:c>
      <x:c r="N284" s="61" t="str">
        <x:f>IF(OR(H284="",E284=0),"",K284/E284)</x:f>
      </x:c>
    </x:row>
    <x:row r="285">
      <x:c r="A285" s="28" t="n">
        <x:v>40658</x:v>
      </x:c>
      <x:c r="B285" s="23" t="n">
        <x:v>21</x:v>
      </x:c>
      <x:c r="C285" s="23" t="str">
        <x:v>23084</x:v>
      </x:c>
      <x:c r="D285" s="23" t="str">
        <x:v>RABBIT NIGHT LIGHT</x:v>
      </x:c>
      <x:c r="E285" s="34" t="n">
        <x:v>0</x:v>
      </x:c>
      <x:c r="F285" s="55" t="n">
        <x:v>0</x:v>
      </x:c>
      <x:c r="G285" s="58" t="n">
        <x:f>E284</x:f>
        <x:v>0</x:v>
      </x:c>
      <x:c r="H285" s="58" t="n">
        <x:f>AVERAGE(E281:E284)</x:f>
        <x:v>0</x:v>
      </x:c>
      <x:c r="I285" s="58" t="n">
        <x:f>AVERAGE(E277:E284)</x:f>
        <x:v>0</x:v>
      </x:c>
      <x:c r="J285" s="58" t="str">
        <x:f>IF(G285="","",ABS(E285-G285))</x:f>
      </x:c>
      <x:c r="K285" s="58" t="str">
        <x:f>IF(H285="","",ABS(E285-H285))</x:f>
      </x:c>
      <x:c r="L285" s="58" t="str">
        <x:f>IF(I285="","",ABS(E285-I285))</x:f>
      </x:c>
      <x:c r="M285" s="23" t="str">
        <x:f>IF(B285&gt;44,"Validation","Training")</x:f>
        <x:v>Training</x:v>
      </x:c>
      <x:c r="N285" s="61" t="str">
        <x:f>IF(OR(H285="",E285=0),"",K285/E285)</x:f>
      </x:c>
    </x:row>
    <x:row r="286">
      <x:c r="A286" s="28" t="n">
        <x:v>40665</x:v>
      </x:c>
      <x:c r="B286" s="23" t="n">
        <x:v>22</x:v>
      </x:c>
      <x:c r="C286" s="23" t="str">
        <x:v>23084</x:v>
      </x:c>
      <x:c r="D286" s="23" t="str">
        <x:v>RABBIT NIGHT LIGHT</x:v>
      </x:c>
      <x:c r="E286" s="34" t="n">
        <x:v>0</x:v>
      </x:c>
      <x:c r="F286" s="55" t="n">
        <x:v>0</x:v>
      </x:c>
      <x:c r="G286" s="58" t="n">
        <x:f>E285</x:f>
        <x:v>0</x:v>
      </x:c>
      <x:c r="H286" s="58" t="n">
        <x:f>AVERAGE(E282:E285)</x:f>
        <x:v>0</x:v>
      </x:c>
      <x:c r="I286" s="58" t="n">
        <x:f>AVERAGE(E278:E285)</x:f>
        <x:v>0</x:v>
      </x:c>
      <x:c r="J286" s="58" t="str">
        <x:f>IF(G286="","",ABS(E286-G286))</x:f>
      </x:c>
      <x:c r="K286" s="58" t="str">
        <x:f>IF(H286="","",ABS(E286-H286))</x:f>
      </x:c>
      <x:c r="L286" s="58" t="str">
        <x:f>IF(I286="","",ABS(E286-I286))</x:f>
      </x:c>
      <x:c r="M286" s="23" t="str">
        <x:f>IF(B286&gt;44,"Validation","Training")</x:f>
        <x:v>Training</x:v>
      </x:c>
      <x:c r="N286" s="61" t="str">
        <x:f>IF(OR(H286="",E286=0),"",K286/E286)</x:f>
      </x:c>
    </x:row>
    <x:row r="287">
      <x:c r="A287" s="28" t="n">
        <x:v>40672</x:v>
      </x:c>
      <x:c r="B287" s="23" t="n">
        <x:v>23</x:v>
      </x:c>
      <x:c r="C287" s="23" t="str">
        <x:v>23084</x:v>
      </x:c>
      <x:c r="D287" s="23" t="str">
        <x:v>RABBIT NIGHT LIGHT</x:v>
      </x:c>
      <x:c r="E287" s="34" t="n">
        <x:v>344</x:v>
      </x:c>
      <x:c r="F287" s="55" t="n">
        <x:v>651.14</x:v>
      </x:c>
      <x:c r="G287" s="58" t="n">
        <x:f>E286</x:f>
        <x:v>0</x:v>
      </x:c>
      <x:c r="H287" s="58" t="n">
        <x:f>AVERAGE(E283:E286)</x:f>
        <x:v>0</x:v>
      </x:c>
      <x:c r="I287" s="58" t="n">
        <x:f>AVERAGE(E279:E286)</x:f>
        <x:v>0</x:v>
      </x:c>
      <x:c r="J287" s="58" t="str">
        <x:f>IF(G287="","",ABS(E287-G287))</x:f>
      </x:c>
      <x:c r="K287" s="58" t="str">
        <x:f>IF(H287="","",ABS(E287-H287))</x:f>
      </x:c>
      <x:c r="L287" s="58" t="str">
        <x:f>IF(I287="","",ABS(E287-I287))</x:f>
      </x:c>
      <x:c r="M287" s="23" t="str">
        <x:f>IF(B287&gt;44,"Validation","Training")</x:f>
        <x:v>Training</x:v>
      </x:c>
      <x:c r="N287" s="61" t="str">
        <x:f>IF(OR(H287="",E287=0),"",K287/E287)</x:f>
      </x:c>
    </x:row>
    <x:row r="288">
      <x:c r="A288" s="28" t="n">
        <x:v>40679</x:v>
      </x:c>
      <x:c r="B288" s="23" t="n">
        <x:v>24</x:v>
      </x:c>
      <x:c r="C288" s="23" t="str">
        <x:v>23084</x:v>
      </x:c>
      <x:c r="D288" s="23" t="str">
        <x:v>RABBIT NIGHT LIGHT</x:v>
      </x:c>
      <x:c r="E288" s="34" t="n">
        <x:v>256</x:v>
      </x:c>
      <x:c r="F288" s="55" t="n">
        <x:v>545.21</x:v>
      </x:c>
      <x:c r="G288" s="58" t="n">
        <x:f>E287</x:f>
        <x:v>344</x:v>
      </x:c>
      <x:c r="H288" s="58" t="n">
        <x:f>AVERAGE(E284:E287)</x:f>
        <x:v>86</x:v>
      </x:c>
      <x:c r="I288" s="58" t="n">
        <x:f>AVERAGE(E280:E287)</x:f>
        <x:v>43</x:v>
      </x:c>
      <x:c r="J288" s="58" t="n">
        <x:f>IF(G288="","",ABS(E288-G288))</x:f>
        <x:v>88</x:v>
      </x:c>
      <x:c r="K288" s="58" t="n">
        <x:f>IF(H288="","",ABS(E288-H288))</x:f>
        <x:v>170</x:v>
      </x:c>
      <x:c r="L288" s="58" t="n">
        <x:f>IF(I288="","",ABS(E288-I288))</x:f>
        <x:v>213</x:v>
      </x:c>
      <x:c r="M288" s="23" t="str">
        <x:f>IF(B288&gt;44,"Validation","Training")</x:f>
        <x:v>Training</x:v>
      </x:c>
      <x:c r="N288" s="61" t="n">
        <x:f>IF(OR(H288="",E288=0),"",K288/E288)</x:f>
        <x:v>0.6640625</x:v>
      </x:c>
    </x:row>
    <x:row r="289">
      <x:c r="A289" s="28" t="n">
        <x:v>40686</x:v>
      </x:c>
      <x:c r="B289" s="23" t="n">
        <x:v>25</x:v>
      </x:c>
      <x:c r="C289" s="23" t="str">
        <x:v>23084</x:v>
      </x:c>
      <x:c r="D289" s="23" t="str">
        <x:v>RABBIT NIGHT LIGHT</x:v>
      </x:c>
      <x:c r="E289" s="34" t="n">
        <x:v>454</x:v>
      </x:c>
      <x:c r="F289" s="55" t="n">
        <x:v>937.79</x:v>
      </x:c>
      <x:c r="G289" s="58" t="n">
        <x:f>E288</x:f>
        <x:v>256</x:v>
      </x:c>
      <x:c r="H289" s="58" t="n">
        <x:f>AVERAGE(E285:E288)</x:f>
        <x:v>150</x:v>
      </x:c>
      <x:c r="I289" s="58" t="n">
        <x:f>AVERAGE(E281:E288)</x:f>
        <x:v>75</x:v>
      </x:c>
      <x:c r="J289" s="58" t="n">
        <x:f>IF(G289="","",ABS(E289-G289))</x:f>
        <x:v>198</x:v>
      </x:c>
      <x:c r="K289" s="58" t="n">
        <x:f>IF(H289="","",ABS(E289-H289))</x:f>
        <x:v>304</x:v>
      </x:c>
      <x:c r="L289" s="58" t="n">
        <x:f>IF(I289="","",ABS(E289-I289))</x:f>
        <x:v>379</x:v>
      </x:c>
      <x:c r="M289" s="23" t="str">
        <x:f>IF(B289&gt;44,"Validation","Training")</x:f>
        <x:v>Training</x:v>
      </x:c>
      <x:c r="N289" s="61" t="n">
        <x:f>IF(OR(H289="",E289=0),"",K289/E289)</x:f>
        <x:v>0.6696035242290749</x:v>
      </x:c>
    </x:row>
    <x:row r="290">
      <x:c r="A290" s="28" t="n">
        <x:v>40693</x:v>
      </x:c>
      <x:c r="B290" s="23" t="n">
        <x:v>26</x:v>
      </x:c>
      <x:c r="C290" s="23" t="str">
        <x:v>23084</x:v>
      </x:c>
      <x:c r="D290" s="23" t="str">
        <x:v>RABBIT NIGHT LIGHT</x:v>
      </x:c>
      <x:c r="E290" s="34" t="n">
        <x:v>135</x:v>
      </x:c>
      <x:c r="F290" s="55" t="n">
        <x:v>281.66</x:v>
      </x:c>
      <x:c r="G290" s="58" t="n">
        <x:f>E289</x:f>
        <x:v>454</x:v>
      </x:c>
      <x:c r="H290" s="58" t="n">
        <x:f>AVERAGE(E286:E289)</x:f>
        <x:v>263.5</x:v>
      </x:c>
      <x:c r="I290" s="58" t="n">
        <x:f>AVERAGE(E282:E289)</x:f>
        <x:v>131.75</x:v>
      </x:c>
      <x:c r="J290" s="58" t="n">
        <x:f>IF(G290="","",ABS(E290-G290))</x:f>
        <x:v>319</x:v>
      </x:c>
      <x:c r="K290" s="58" t="n">
        <x:f>IF(H290="","",ABS(E290-H290))</x:f>
        <x:v>128.5</x:v>
      </x:c>
      <x:c r="L290" s="58" t="n">
        <x:f>IF(I290="","",ABS(E290-I290))</x:f>
        <x:v>3.25</x:v>
      </x:c>
      <x:c r="M290" s="23" t="str">
        <x:f>IF(B290&gt;44,"Validation","Training")</x:f>
        <x:v>Training</x:v>
      </x:c>
      <x:c r="N290" s="61" t="n">
        <x:f>IF(OR(H290="",E290=0),"",K290/E290)</x:f>
        <x:v>0.9518518518518518</x:v>
      </x:c>
    </x:row>
    <x:row r="291">
      <x:c r="A291" s="28" t="n">
        <x:v>40700</x:v>
      </x:c>
      <x:c r="B291" s="23" t="n">
        <x:v>27</x:v>
      </x:c>
      <x:c r="C291" s="23" t="str">
        <x:v>23084</x:v>
      </x:c>
      <x:c r="D291" s="23" t="str">
        <x:v>RABBIT NIGHT LIGHT</x:v>
      </x:c>
      <x:c r="E291" s="34" t="n">
        <x:v>199</x:v>
      </x:c>
      <x:c r="F291" s="55" t="n">
        <x:v>404.1</x:v>
      </x:c>
      <x:c r="G291" s="58" t="n">
        <x:f>E290</x:f>
        <x:v>135</x:v>
      </x:c>
      <x:c r="H291" s="58" t="n">
        <x:f>AVERAGE(E287:E290)</x:f>
        <x:v>297.25</x:v>
      </x:c>
      <x:c r="I291" s="58" t="n">
        <x:f>AVERAGE(E283:E290)</x:f>
        <x:v>148.625</x:v>
      </x:c>
      <x:c r="J291" s="58" t="n">
        <x:f>IF(G291="","",ABS(E291-G291))</x:f>
        <x:v>64</x:v>
      </x:c>
      <x:c r="K291" s="58" t="n">
        <x:f>IF(H291="","",ABS(E291-H291))</x:f>
        <x:v>98.25</x:v>
      </x:c>
      <x:c r="L291" s="58" t="n">
        <x:f>IF(I291="","",ABS(E291-I291))</x:f>
        <x:v>50.375</x:v>
      </x:c>
      <x:c r="M291" s="23" t="str">
        <x:f>IF(B291&gt;44,"Validation","Training")</x:f>
        <x:v>Training</x:v>
      </x:c>
      <x:c r="N291" s="61" t="n">
        <x:f>IF(OR(H291="",E291=0),"",K291/E291)</x:f>
        <x:v>0.4937185929648241</x:v>
      </x:c>
    </x:row>
    <x:row r="292">
      <x:c r="A292" s="28" t="n">
        <x:v>40707</x:v>
      </x:c>
      <x:c r="B292" s="23" t="n">
        <x:v>28</x:v>
      </x:c>
      <x:c r="C292" s="23" t="str">
        <x:v>23084</x:v>
      </x:c>
      <x:c r="D292" s="23" t="str">
        <x:v>RABBIT NIGHT LIGHT</x:v>
      </x:c>
      <x:c r="E292" s="34" t="n">
        <x:v>642</x:v>
      </x:c>
      <x:c r="F292" s="55" t="n">
        <x:v>1183.48</x:v>
      </x:c>
      <x:c r="G292" s="58" t="n">
        <x:f>E291</x:f>
        <x:v>199</x:v>
      </x:c>
      <x:c r="H292" s="58" t="n">
        <x:f>AVERAGE(E288:E291)</x:f>
        <x:v>261</x:v>
      </x:c>
      <x:c r="I292" s="58" t="n">
        <x:f>AVERAGE(E284:E291)</x:f>
        <x:v>173.5</x:v>
      </x:c>
      <x:c r="J292" s="58" t="n">
        <x:f>IF(G292="","",ABS(E292-G292))</x:f>
        <x:v>443</x:v>
      </x:c>
      <x:c r="K292" s="58" t="n">
        <x:f>IF(H292="","",ABS(E292-H292))</x:f>
        <x:v>381</x:v>
      </x:c>
      <x:c r="L292" s="58" t="n">
        <x:f>IF(I292="","",ABS(E292-I292))</x:f>
        <x:v>468.5</x:v>
      </x:c>
      <x:c r="M292" s="23" t="str">
        <x:f>IF(B292&gt;44,"Validation","Training")</x:f>
        <x:v>Training</x:v>
      </x:c>
      <x:c r="N292" s="61" t="n">
        <x:f>IF(OR(H292="",E292=0),"",K292/E292)</x:f>
        <x:v>0.5934579439252337</x:v>
      </x:c>
    </x:row>
    <x:row r="293">
      <x:c r="A293" s="28" t="n">
        <x:v>40714</x:v>
      </x:c>
      <x:c r="B293" s="23" t="n">
        <x:v>29</x:v>
      </x:c>
      <x:c r="C293" s="23" t="str">
        <x:v>23084</x:v>
      </x:c>
      <x:c r="D293" s="23" t="str">
        <x:v>RABBIT NIGHT LIGHT</x:v>
      </x:c>
      <x:c r="E293" s="34" t="n">
        <x:v>651</x:v>
      </x:c>
      <x:c r="F293" s="55" t="n">
        <x:v>1235</x:v>
      </x:c>
      <x:c r="G293" s="58" t="n">
        <x:f>E292</x:f>
        <x:v>642</x:v>
      </x:c>
      <x:c r="H293" s="58" t="n">
        <x:f>AVERAGE(E289:E292)</x:f>
        <x:v>357.5</x:v>
      </x:c>
      <x:c r="I293" s="58" t="n">
        <x:f>AVERAGE(E285:E292)</x:f>
        <x:v>253.75</x:v>
      </x:c>
      <x:c r="J293" s="58" t="n">
        <x:f>IF(G293="","",ABS(E293-G293))</x:f>
        <x:v>9</x:v>
      </x:c>
      <x:c r="K293" s="58" t="n">
        <x:f>IF(H293="","",ABS(E293-H293))</x:f>
        <x:v>293.5</x:v>
      </x:c>
      <x:c r="L293" s="58" t="n">
        <x:f>IF(I293="","",ABS(E293-I293))</x:f>
        <x:v>397.25</x:v>
      </x:c>
      <x:c r="M293" s="23" t="str">
        <x:f>IF(B293&gt;44,"Validation","Training")</x:f>
        <x:v>Training</x:v>
      </x:c>
      <x:c r="N293" s="61" t="n">
        <x:f>IF(OR(H293="",E293=0),"",K293/E293)</x:f>
        <x:v>0.4508448540706605</x:v>
      </x:c>
    </x:row>
    <x:row r="294">
      <x:c r="A294" s="28" t="n">
        <x:v>40721</x:v>
      </x:c>
      <x:c r="B294" s="23" t="n">
        <x:v>30</x:v>
      </x:c>
      <x:c r="C294" s="23" t="str">
        <x:v>23084</x:v>
      </x:c>
      <x:c r="D294" s="23" t="str">
        <x:v>RABBIT NIGHT LIGHT</x:v>
      </x:c>
      <x:c r="E294" s="34" t="n">
        <x:v>174</x:v>
      </x:c>
      <x:c r="F294" s="55" t="n">
        <x:v>395.04</x:v>
      </x:c>
      <x:c r="G294" s="58" t="n">
        <x:f>E293</x:f>
        <x:v>651</x:v>
      </x:c>
      <x:c r="H294" s="58" t="n">
        <x:f>AVERAGE(E290:E293)</x:f>
        <x:v>406.75</x:v>
      </x:c>
      <x:c r="I294" s="58" t="n">
        <x:f>AVERAGE(E286:E293)</x:f>
        <x:v>335.125</x:v>
      </x:c>
      <x:c r="J294" s="58" t="n">
        <x:f>IF(G294="","",ABS(E294-G294))</x:f>
        <x:v>477</x:v>
      </x:c>
      <x:c r="K294" s="58" t="n">
        <x:f>IF(H294="","",ABS(E294-H294))</x:f>
        <x:v>232.75</x:v>
      </x:c>
      <x:c r="L294" s="58" t="n">
        <x:f>IF(I294="","",ABS(E294-I294))</x:f>
        <x:v>161.125</x:v>
      </x:c>
      <x:c r="M294" s="23" t="str">
        <x:f>IF(B294&gt;44,"Validation","Training")</x:f>
        <x:v>Training</x:v>
      </x:c>
      <x:c r="N294" s="61" t="n">
        <x:f>IF(OR(H294="",E294=0),"",K294/E294)</x:f>
        <x:v>1.3376436781609196</x:v>
      </x:c>
    </x:row>
    <x:row r="295">
      <x:c r="A295" s="28" t="n">
        <x:v>40728</x:v>
      </x:c>
      <x:c r="B295" s="23" t="n">
        <x:v>31</x:v>
      </x:c>
      <x:c r="C295" s="23" t="str">
        <x:v>23084</x:v>
      </x:c>
      <x:c r="D295" s="23" t="str">
        <x:v>RABBIT NIGHT LIGHT</x:v>
      </x:c>
      <x:c r="E295" s="34" t="n">
        <x:v>140</x:v>
      </x:c>
      <x:c r="F295" s="55" t="n">
        <x:v>337.97</x:v>
      </x:c>
      <x:c r="G295" s="58" t="n">
        <x:f>E294</x:f>
        <x:v>174</x:v>
      </x:c>
      <x:c r="H295" s="58" t="n">
        <x:f>AVERAGE(E291:E294)</x:f>
        <x:v>416.5</x:v>
      </x:c>
      <x:c r="I295" s="58" t="n">
        <x:f>AVERAGE(E287:E294)</x:f>
        <x:v>356.875</x:v>
      </x:c>
      <x:c r="J295" s="58" t="n">
        <x:f>IF(G295="","",ABS(E295-G295))</x:f>
        <x:v>34</x:v>
      </x:c>
      <x:c r="K295" s="58" t="n">
        <x:f>IF(H295="","",ABS(E295-H295))</x:f>
        <x:v>276.5</x:v>
      </x:c>
      <x:c r="L295" s="58" t="n">
        <x:f>IF(I295="","",ABS(E295-I295))</x:f>
        <x:v>216.875</x:v>
      </x:c>
      <x:c r="M295" s="23" t="str">
        <x:f>IF(B295&gt;44,"Validation","Training")</x:f>
        <x:v>Training</x:v>
      </x:c>
      <x:c r="N295" s="61" t="n">
        <x:f>IF(OR(H295="",E295=0),"",K295/E295)</x:f>
        <x:v>1.975</x:v>
      </x:c>
    </x:row>
    <x:row r="296">
      <x:c r="A296" s="28" t="n">
        <x:v>40735</x:v>
      </x:c>
      <x:c r="B296" s="23" t="n">
        <x:v>32</x:v>
      </x:c>
      <x:c r="C296" s="23" t="str">
        <x:v>23084</x:v>
      </x:c>
      <x:c r="D296" s="23" t="str">
        <x:v>RABBIT NIGHT LIGHT</x:v>
      </x:c>
      <x:c r="E296" s="34" t="n">
        <x:v>128</x:v>
      </x:c>
      <x:c r="F296" s="55" t="n">
        <x:v>241.69</x:v>
      </x:c>
      <x:c r="G296" s="58" t="n">
        <x:f>E295</x:f>
        <x:v>140</x:v>
      </x:c>
      <x:c r="H296" s="58" t="n">
        <x:f>AVERAGE(E292:E295)</x:f>
        <x:v>401.75</x:v>
      </x:c>
      <x:c r="I296" s="58" t="n">
        <x:f>AVERAGE(E288:E295)</x:f>
        <x:v>331.375</x:v>
      </x:c>
      <x:c r="J296" s="58" t="n">
        <x:f>IF(G296="","",ABS(E296-G296))</x:f>
        <x:v>12</x:v>
      </x:c>
      <x:c r="K296" s="58" t="n">
        <x:f>IF(H296="","",ABS(E296-H296))</x:f>
        <x:v>273.75</x:v>
      </x:c>
      <x:c r="L296" s="58" t="n">
        <x:f>IF(I296="","",ABS(E296-I296))</x:f>
        <x:v>203.375</x:v>
      </x:c>
      <x:c r="M296" s="23" t="str">
        <x:f>IF(B296&gt;44,"Validation","Training")</x:f>
        <x:v>Training</x:v>
      </x:c>
      <x:c r="N296" s="61" t="n">
        <x:f>IF(OR(H296="",E296=0),"",K296/E296)</x:f>
        <x:v>2.138671875</x:v>
      </x:c>
    </x:row>
    <x:row r="297">
      <x:c r="A297" s="28" t="n">
        <x:v>40742</x:v>
      </x:c>
      <x:c r="B297" s="23" t="n">
        <x:v>33</x:v>
      </x:c>
      <x:c r="C297" s="23" t="str">
        <x:v>23084</x:v>
      </x:c>
      <x:c r="D297" s="23" t="str">
        <x:v>RABBIT NIGHT LIGHT</x:v>
      </x:c>
      <x:c r="E297" s="34" t="n">
        <x:v>2</x:v>
      </x:c>
      <x:c r="F297" s="55" t="n">
        <x:v>8.26</x:v>
      </x:c>
      <x:c r="G297" s="58" t="n">
        <x:f>E296</x:f>
        <x:v>128</x:v>
      </x:c>
      <x:c r="H297" s="58" t="n">
        <x:f>AVERAGE(E293:E296)</x:f>
        <x:v>273.25</x:v>
      </x:c>
      <x:c r="I297" s="58" t="n">
        <x:f>AVERAGE(E289:E296)</x:f>
        <x:v>315.375</x:v>
      </x:c>
      <x:c r="J297" s="58" t="n">
        <x:f>IF(G297="","",ABS(E297-G297))</x:f>
        <x:v>126</x:v>
      </x:c>
      <x:c r="K297" s="58" t="n">
        <x:f>IF(H297="","",ABS(E297-H297))</x:f>
        <x:v>271.25</x:v>
      </x:c>
      <x:c r="L297" s="58" t="n">
        <x:f>IF(I297="","",ABS(E297-I297))</x:f>
        <x:v>313.375</x:v>
      </x:c>
      <x:c r="M297" s="23" t="str">
        <x:f>IF(B297&gt;44,"Validation","Training")</x:f>
        <x:v>Training</x:v>
      </x:c>
      <x:c r="N297" s="61" t="n">
        <x:f>IF(OR(H297="",E297=0),"",K297/E297)</x:f>
        <x:v>135.625</x:v>
      </x:c>
    </x:row>
    <x:row r="298">
      <x:c r="A298" s="28" t="n">
        <x:v>40749</x:v>
      </x:c>
      <x:c r="B298" s="23" t="n">
        <x:v>34</x:v>
      </x:c>
      <x:c r="C298" s="23" t="str">
        <x:v>23084</x:v>
      </x:c>
      <x:c r="D298" s="23" t="str">
        <x:v>RABBIT NIGHT LIGHT</x:v>
      </x:c>
      <x:c r="E298" s="34" t="n">
        <x:v>13</x:v>
      </x:c>
      <x:c r="F298" s="55" t="n">
        <x:v>53.69</x:v>
      </x:c>
      <x:c r="G298" s="58" t="n">
        <x:f>E297</x:f>
        <x:v>2</x:v>
      </x:c>
      <x:c r="H298" s="58" t="n">
        <x:f>AVERAGE(E294:E297)</x:f>
        <x:v>111</x:v>
      </x:c>
      <x:c r="I298" s="58" t="n">
        <x:f>AVERAGE(E290:E297)</x:f>
        <x:v>258.875</x:v>
      </x:c>
      <x:c r="J298" s="58" t="n">
        <x:f>IF(G298="","",ABS(E298-G298))</x:f>
        <x:v>11</x:v>
      </x:c>
      <x:c r="K298" s="58" t="n">
        <x:f>IF(H298="","",ABS(E298-H298))</x:f>
        <x:v>98</x:v>
      </x:c>
      <x:c r="L298" s="58" t="n">
        <x:f>IF(I298="","",ABS(E298-I298))</x:f>
        <x:v>245.875</x:v>
      </x:c>
      <x:c r="M298" s="23" t="str">
        <x:f>IF(B298&gt;44,"Validation","Training")</x:f>
        <x:v>Training</x:v>
      </x:c>
      <x:c r="N298" s="61" t="n">
        <x:f>IF(OR(H298="",E298=0),"",K298/E298)</x:f>
        <x:v>7.538461538461538</x:v>
      </x:c>
    </x:row>
    <x:row r="299">
      <x:c r="A299" s="28" t="n">
        <x:v>40756</x:v>
      </x:c>
      <x:c r="B299" s="23" t="n">
        <x:v>35</x:v>
      </x:c>
      <x:c r="C299" s="23" t="str">
        <x:v>23084</x:v>
      </x:c>
      <x:c r="D299" s="23" t="str">
        <x:v>RABBIT NIGHT LIGHT</x:v>
      </x:c>
      <x:c r="E299" s="34" t="n">
        <x:v>6</x:v>
      </x:c>
      <x:c r="F299" s="55" t="n">
        <x:v>24.78</x:v>
      </x:c>
      <x:c r="G299" s="58" t="n">
        <x:f>E298</x:f>
        <x:v>13</x:v>
      </x:c>
      <x:c r="H299" s="58" t="n">
        <x:f>AVERAGE(E295:E298)</x:f>
        <x:v>70.75</x:v>
      </x:c>
      <x:c r="I299" s="58" t="n">
        <x:f>AVERAGE(E291:E298)</x:f>
        <x:v>243.625</x:v>
      </x:c>
      <x:c r="J299" s="58" t="n">
        <x:f>IF(G299="","",ABS(E299-G299))</x:f>
        <x:v>7</x:v>
      </x:c>
      <x:c r="K299" s="58" t="n">
        <x:f>IF(H299="","",ABS(E299-H299))</x:f>
        <x:v>64.75</x:v>
      </x:c>
      <x:c r="L299" s="58" t="n">
        <x:f>IF(I299="","",ABS(E299-I299))</x:f>
        <x:v>237.625</x:v>
      </x:c>
      <x:c r="M299" s="23" t="str">
        <x:f>IF(B299&gt;44,"Validation","Training")</x:f>
        <x:v>Training</x:v>
      </x:c>
      <x:c r="N299" s="61" t="n">
        <x:f>IF(OR(H299="",E299=0),"",K299/E299)</x:f>
        <x:v>10.791666666666666</x:v>
      </x:c>
    </x:row>
    <x:row r="300">
      <x:c r="A300" s="28" t="n">
        <x:v>40763</x:v>
      </x:c>
      <x:c r="B300" s="23" t="n">
        <x:v>36</x:v>
      </x:c>
      <x:c r="C300" s="23" t="str">
        <x:v>23084</x:v>
      </x:c>
      <x:c r="D300" s="23" t="str">
        <x:v>RABBIT NIGHT LIGHT</x:v>
      </x:c>
      <x:c r="E300" s="34" t="n">
        <x:v>10</x:v>
      </x:c>
      <x:c r="F300" s="55" t="n">
        <x:v>39.25</x:v>
      </x:c>
      <x:c r="G300" s="58" t="n">
        <x:f>E299</x:f>
        <x:v>6</x:v>
      </x:c>
      <x:c r="H300" s="58" t="n">
        <x:f>AVERAGE(E296:E299)</x:f>
        <x:v>37.25</x:v>
      </x:c>
      <x:c r="I300" s="58" t="n">
        <x:f>AVERAGE(E292:E299)</x:f>
        <x:v>219.5</x:v>
      </x:c>
      <x:c r="J300" s="58" t="n">
        <x:f>IF(G300="","",ABS(E300-G300))</x:f>
        <x:v>4</x:v>
      </x:c>
      <x:c r="K300" s="58" t="n">
        <x:f>IF(H300="","",ABS(E300-H300))</x:f>
        <x:v>27.25</x:v>
      </x:c>
      <x:c r="L300" s="58" t="n">
        <x:f>IF(I300="","",ABS(E300-I300))</x:f>
        <x:v>209.5</x:v>
      </x:c>
      <x:c r="M300" s="23" t="str">
        <x:f>IF(B300&gt;44,"Validation","Training")</x:f>
        <x:v>Training</x:v>
      </x:c>
      <x:c r="N300" s="61" t="n">
        <x:f>IF(OR(H300="",E300=0),"",K300/E300)</x:f>
        <x:v>2.725</x:v>
      </x:c>
    </x:row>
    <x:row r="301">
      <x:c r="A301" s="28" t="n">
        <x:v>40770</x:v>
      </x:c>
      <x:c r="B301" s="23" t="n">
        <x:v>37</x:v>
      </x:c>
      <x:c r="C301" s="23" t="str">
        <x:v>23084</x:v>
      </x:c>
      <x:c r="D301" s="23" t="str">
        <x:v>RABBIT NIGHT LIGHT</x:v>
      </x:c>
      <x:c r="E301" s="34" t="n">
        <x:v>1</x:v>
      </x:c>
      <x:c r="F301" s="55" t="n">
        <x:v>4.13</x:v>
      </x:c>
      <x:c r="G301" s="58" t="n">
        <x:f>E300</x:f>
        <x:v>10</x:v>
      </x:c>
      <x:c r="H301" s="58" t="n">
        <x:f>AVERAGE(E297:E300)</x:f>
        <x:v>7.75</x:v>
      </x:c>
      <x:c r="I301" s="58" t="n">
        <x:f>AVERAGE(E293:E300)</x:f>
        <x:v>140.5</x:v>
      </x:c>
      <x:c r="J301" s="58" t="n">
        <x:f>IF(G301="","",ABS(E301-G301))</x:f>
        <x:v>9</x:v>
      </x:c>
      <x:c r="K301" s="58" t="n">
        <x:f>IF(H301="","",ABS(E301-H301))</x:f>
        <x:v>6.75</x:v>
      </x:c>
      <x:c r="L301" s="58" t="n">
        <x:f>IF(I301="","",ABS(E301-I301))</x:f>
        <x:v>139.5</x:v>
      </x:c>
      <x:c r="M301" s="23" t="str">
        <x:f>IF(B301&gt;44,"Validation","Training")</x:f>
        <x:v>Training</x:v>
      </x:c>
      <x:c r="N301" s="61" t="n">
        <x:f>IF(OR(H301="",E301=0),"",K301/E301)</x:f>
        <x:v>6.75</x:v>
      </x:c>
    </x:row>
    <x:row r="302">
      <x:c r="A302" s="28" t="n">
        <x:v>40777</x:v>
      </x:c>
      <x:c r="B302" s="23" t="n">
        <x:v>38</x:v>
      </x:c>
      <x:c r="C302" s="23" t="str">
        <x:v>23084</x:v>
      </x:c>
      <x:c r="D302" s="23" t="str">
        <x:v>RABBIT NIGHT LIGHT</x:v>
      </x:c>
      <x:c r="E302" s="34" t="n">
        <x:v>768</x:v>
      </x:c>
      <x:c r="F302" s="55" t="n">
        <x:v>1531.13</x:v>
      </x:c>
      <x:c r="G302" s="58" t="n">
        <x:f>E301</x:f>
        <x:v>1</x:v>
      </x:c>
      <x:c r="H302" s="58" t="n">
        <x:f>AVERAGE(E298:E301)</x:f>
        <x:v>7.5</x:v>
      </x:c>
      <x:c r="I302" s="58" t="n">
        <x:f>AVERAGE(E294:E301)</x:f>
        <x:v>59.25</x:v>
      </x:c>
      <x:c r="J302" s="58" t="n">
        <x:f>IF(G302="","",ABS(E302-G302))</x:f>
        <x:v>767</x:v>
      </x:c>
      <x:c r="K302" s="58" t="n">
        <x:f>IF(H302="","",ABS(E302-H302))</x:f>
        <x:v>760.5</x:v>
      </x:c>
      <x:c r="L302" s="58" t="n">
        <x:f>IF(I302="","",ABS(E302-I302))</x:f>
        <x:v>708.75</x:v>
      </x:c>
      <x:c r="M302" s="23" t="str">
        <x:f>IF(B302&gt;44,"Validation","Training")</x:f>
        <x:v>Training</x:v>
      </x:c>
      <x:c r="N302" s="61" t="n">
        <x:f>IF(OR(H302="",E302=0),"",K302/E302)</x:f>
        <x:v>0.990234375</x:v>
      </x:c>
    </x:row>
    <x:row r="303">
      <x:c r="A303" s="28" t="n">
        <x:v>40784</x:v>
      </x:c>
      <x:c r="B303" s="23" t="n">
        <x:v>39</x:v>
      </x:c>
      <x:c r="C303" s="23" t="str">
        <x:v>23084</x:v>
      </x:c>
      <x:c r="D303" s="23" t="str">
        <x:v>RABBIT NIGHT LIGHT</x:v>
      </x:c>
      <x:c r="E303" s="34" t="n">
        <x:v>1161</x:v>
      </x:c>
      <x:c r="F303" s="55" t="n">
        <x:v>2154.98</x:v>
      </x:c>
      <x:c r="G303" s="58" t="n">
        <x:f>E302</x:f>
        <x:v>768</x:v>
      </x:c>
      <x:c r="H303" s="58" t="n">
        <x:f>AVERAGE(E299:E302)</x:f>
        <x:v>196.25</x:v>
      </x:c>
      <x:c r="I303" s="58" t="n">
        <x:f>AVERAGE(E295:E302)</x:f>
        <x:v>133.5</x:v>
      </x:c>
      <x:c r="J303" s="58" t="n">
        <x:f>IF(G303="","",ABS(E303-G303))</x:f>
        <x:v>393</x:v>
      </x:c>
      <x:c r="K303" s="58" t="n">
        <x:f>IF(H303="","",ABS(E303-H303))</x:f>
        <x:v>964.75</x:v>
      </x:c>
      <x:c r="L303" s="58" t="n">
        <x:f>IF(I303="","",ABS(E303-I303))</x:f>
        <x:v>1027.5</x:v>
      </x:c>
      <x:c r="M303" s="23" t="str">
        <x:f>IF(B303&gt;44,"Validation","Training")</x:f>
        <x:v>Training</x:v>
      </x:c>
      <x:c r="N303" s="61" t="n">
        <x:f>IF(OR(H303="",E303=0),"",K303/E303)</x:f>
        <x:v>0.8309646856158484</x:v>
      </x:c>
    </x:row>
    <x:row r="304">
      <x:c r="A304" s="28" t="n">
        <x:v>40791</x:v>
      </x:c>
      <x:c r="B304" s="23" t="n">
        <x:v>40</x:v>
      </x:c>
      <x:c r="C304" s="23" t="str">
        <x:v>23084</x:v>
      </x:c>
      <x:c r="D304" s="23" t="str">
        <x:v>RABBIT NIGHT LIGHT</x:v>
      </x:c>
      <x:c r="E304" s="34" t="n">
        <x:v>10</x:v>
      </x:c>
      <x:c r="F304" s="55" t="n">
        <x:v>41.3</x:v>
      </x:c>
      <x:c r="G304" s="58" t="n">
        <x:f>E303</x:f>
        <x:v>1161</x:v>
      </x:c>
      <x:c r="H304" s="58" t="n">
        <x:f>AVERAGE(E300:E303)</x:f>
        <x:v>485</x:v>
      </x:c>
      <x:c r="I304" s="58" t="n">
        <x:f>AVERAGE(E296:E303)</x:f>
        <x:v>261.125</x:v>
      </x:c>
      <x:c r="J304" s="58" t="n">
        <x:f>IF(G304="","",ABS(E304-G304))</x:f>
        <x:v>1151</x:v>
      </x:c>
      <x:c r="K304" s="58" t="n">
        <x:f>IF(H304="","",ABS(E304-H304))</x:f>
        <x:v>475</x:v>
      </x:c>
      <x:c r="L304" s="58" t="n">
        <x:f>IF(I304="","",ABS(E304-I304))</x:f>
        <x:v>251.125</x:v>
      </x:c>
      <x:c r="M304" s="23" t="str">
        <x:f>IF(B304&gt;44,"Validation","Training")</x:f>
        <x:v>Training</x:v>
      </x:c>
      <x:c r="N304" s="61" t="n">
        <x:f>IF(OR(H304="",E304=0),"",K304/E304)</x:f>
        <x:v>47.5</x:v>
      </x:c>
    </x:row>
    <x:row r="305">
      <x:c r="A305" s="28" t="n">
        <x:v>40798</x:v>
      </x:c>
      <x:c r="B305" s="23" t="n">
        <x:v>41</x:v>
      </x:c>
      <x:c r="C305" s="23" t="str">
        <x:v>23084</x:v>
      </x:c>
      <x:c r="D305" s="23" t="str">
        <x:v>RABBIT NIGHT LIGHT</x:v>
      </x:c>
      <x:c r="E305" s="34" t="n">
        <x:v>13</x:v>
      </x:c>
      <x:c r="F305" s="55" t="n">
        <x:v>53.69</x:v>
      </x:c>
      <x:c r="G305" s="58" t="n">
        <x:f>E304</x:f>
        <x:v>10</x:v>
      </x:c>
      <x:c r="H305" s="58" t="n">
        <x:f>AVERAGE(E301:E304)</x:f>
        <x:v>485</x:v>
      </x:c>
      <x:c r="I305" s="58" t="n">
        <x:f>AVERAGE(E297:E304)</x:f>
        <x:v>246.375</x:v>
      </x:c>
      <x:c r="J305" s="58" t="n">
        <x:f>IF(G305="","",ABS(E305-G305))</x:f>
        <x:v>3</x:v>
      </x:c>
      <x:c r="K305" s="58" t="n">
        <x:f>IF(H305="","",ABS(E305-H305))</x:f>
        <x:v>472</x:v>
      </x:c>
      <x:c r="L305" s="58" t="n">
        <x:f>IF(I305="","",ABS(E305-I305))</x:f>
        <x:v>233.375</x:v>
      </x:c>
      <x:c r="M305" s="23" t="str">
        <x:f>IF(B305&gt;44,"Validation","Training")</x:f>
        <x:v>Training</x:v>
      </x:c>
      <x:c r="N305" s="61" t="n">
        <x:f>IF(OR(H305="",E305=0),"",K305/E305)</x:f>
        <x:v>36.30769230769231</x:v>
      </x:c>
    </x:row>
    <x:row r="306">
      <x:c r="A306" s="28" t="n">
        <x:v>40805</x:v>
      </x:c>
      <x:c r="B306" s="23" t="n">
        <x:v>42</x:v>
      </x:c>
      <x:c r="C306" s="23" t="str">
        <x:v>23084</x:v>
      </x:c>
      <x:c r="D306" s="23" t="str">
        <x:v>RABBIT NIGHT LIGHT</x:v>
      </x:c>
      <x:c r="E306" s="34" t="n">
        <x:v>35</x:v>
      </x:c>
      <x:c r="F306" s="55" t="n">
        <x:v>144.55</x:v>
      </x:c>
      <x:c r="G306" s="58" t="n">
        <x:f>E305</x:f>
        <x:v>13</x:v>
      </x:c>
      <x:c r="H306" s="58" t="n">
        <x:f>AVERAGE(E302:E305)</x:f>
        <x:v>488</x:v>
      </x:c>
      <x:c r="I306" s="58" t="n">
        <x:f>AVERAGE(E298:E305)</x:f>
        <x:v>247.75</x:v>
      </x:c>
      <x:c r="J306" s="58" t="n">
        <x:f>IF(G306="","",ABS(E306-G306))</x:f>
        <x:v>22</x:v>
      </x:c>
      <x:c r="K306" s="58" t="n">
        <x:f>IF(H306="","",ABS(E306-H306))</x:f>
        <x:v>453</x:v>
      </x:c>
      <x:c r="L306" s="58" t="n">
        <x:f>IF(I306="","",ABS(E306-I306))</x:f>
        <x:v>212.75</x:v>
      </x:c>
      <x:c r="M306" s="23" t="str">
        <x:f>IF(B306&gt;44,"Validation","Training")</x:f>
        <x:v>Training</x:v>
      </x:c>
      <x:c r="N306" s="61" t="n">
        <x:f>IF(OR(H306="",E306=0),"",K306/E306)</x:f>
        <x:v>12.942857142857143</x:v>
      </x:c>
    </x:row>
    <x:row r="307">
      <x:c r="A307" s="28" t="n">
        <x:v>40812</x:v>
      </x:c>
      <x:c r="B307" s="23" t="n">
        <x:v>43</x:v>
      </x:c>
      <x:c r="C307" s="23" t="str">
        <x:v>23084</x:v>
      </x:c>
      <x:c r="D307" s="23" t="str">
        <x:v>RABBIT NIGHT LIGHT</x:v>
      </x:c>
      <x:c r="E307" s="34" t="n">
        <x:v>58</x:v>
      </x:c>
      <x:c r="F307" s="55" t="n">
        <x:v>239.54</x:v>
      </x:c>
      <x:c r="G307" s="58" t="n">
        <x:f>E306</x:f>
        <x:v>35</x:v>
      </x:c>
      <x:c r="H307" s="58" t="n">
        <x:f>AVERAGE(E303:E306)</x:f>
        <x:v>304.75</x:v>
      </x:c>
      <x:c r="I307" s="58" t="n">
        <x:f>AVERAGE(E299:E306)</x:f>
        <x:v>250.5</x:v>
      </x:c>
      <x:c r="J307" s="58" t="n">
        <x:f>IF(G307="","",ABS(E307-G307))</x:f>
        <x:v>23</x:v>
      </x:c>
      <x:c r="K307" s="58" t="n">
        <x:f>IF(H307="","",ABS(E307-H307))</x:f>
        <x:v>246.75</x:v>
      </x:c>
      <x:c r="L307" s="58" t="n">
        <x:f>IF(I307="","",ABS(E307-I307))</x:f>
        <x:v>192.5</x:v>
      </x:c>
      <x:c r="M307" s="23" t="str">
        <x:f>IF(B307&gt;44,"Validation","Training")</x:f>
        <x:v>Training</x:v>
      </x:c>
      <x:c r="N307" s="61" t="n">
        <x:f>IF(OR(H307="",E307=0),"",K307/E307)</x:f>
        <x:v>4.254310344827586</x:v>
      </x:c>
    </x:row>
    <x:row r="308">
      <x:c r="A308" s="28" t="n">
        <x:v>40819</x:v>
      </x:c>
      <x:c r="B308" s="23" t="n">
        <x:v>44</x:v>
      </x:c>
      <x:c r="C308" s="23" t="str">
        <x:v>23084</x:v>
      </x:c>
      <x:c r="D308" s="23" t="str">
        <x:v>RABBIT NIGHT LIGHT</x:v>
      </x:c>
      <x:c r="E308" s="34" t="n">
        <x:v>373</x:v>
      </x:c>
      <x:c r="F308" s="55" t="n">
        <x:v>698.09</x:v>
      </x:c>
      <x:c r="G308" s="58" t="n">
        <x:f>E307</x:f>
        <x:v>58</x:v>
      </x:c>
      <x:c r="H308" s="58" t="n">
        <x:f>AVERAGE(E304:E307)</x:f>
        <x:v>29</x:v>
      </x:c>
      <x:c r="I308" s="58" t="n">
        <x:f>AVERAGE(E300:E307)</x:f>
        <x:v>257</x:v>
      </x:c>
      <x:c r="J308" s="58" t="n">
        <x:f>IF(G308="","",ABS(E308-G308))</x:f>
        <x:v>315</x:v>
      </x:c>
      <x:c r="K308" s="58" t="n">
        <x:f>IF(H308="","",ABS(E308-H308))</x:f>
        <x:v>344</x:v>
      </x:c>
      <x:c r="L308" s="58" t="n">
        <x:f>IF(I308="","",ABS(E308-I308))</x:f>
        <x:v>116</x:v>
      </x:c>
      <x:c r="M308" s="23" t="str">
        <x:f>IF(B308&gt;44,"Validation","Training")</x:f>
        <x:v>Training</x:v>
      </x:c>
      <x:c r="N308" s="61" t="n">
        <x:f>IF(OR(H308="",E308=0),"",K308/E308)</x:f>
        <x:v>0.9222520107238605</x:v>
      </x:c>
    </x:row>
    <x:row r="309">
      <x:c r="A309" s="28" t="n">
        <x:v>40826</x:v>
      </x:c>
      <x:c r="B309" s="23" t="n">
        <x:v>45</x:v>
      </x:c>
      <x:c r="C309" s="23" t="str">
        <x:v>23084</x:v>
      </x:c>
      <x:c r="D309" s="23" t="str">
        <x:v>RABBIT NIGHT LIGHT</x:v>
      </x:c>
      <x:c r="E309" s="34" t="n">
        <x:v>3</x:v>
      </x:c>
      <x:c r="F309" s="55" t="n">
        <x:v>10.34</x:v>
      </x:c>
      <x:c r="G309" s="58" t="n">
        <x:f>E308</x:f>
        <x:v>373</x:v>
      </x:c>
      <x:c r="H309" s="58" t="n">
        <x:f>AVERAGE(E305:E308)</x:f>
        <x:v>119.75</x:v>
      </x:c>
      <x:c r="I309" s="58" t="n">
        <x:f>AVERAGE(E301:E308)</x:f>
        <x:v>302.375</x:v>
      </x:c>
      <x:c r="J309" s="58" t="n">
        <x:f>IF(G309="","",ABS(E309-G309))</x:f>
        <x:v>370</x:v>
      </x:c>
      <x:c r="K309" s="58" t="n">
        <x:f>IF(H309="","",ABS(E309-H309))</x:f>
        <x:v>116.75</x:v>
      </x:c>
      <x:c r="L309" s="58" t="n">
        <x:f>IF(I309="","",ABS(E309-I309))</x:f>
        <x:v>299.375</x:v>
      </x:c>
      <x:c r="M309" s="23" t="str">
        <x:f>IF(B309&gt;44,"Validation","Training")</x:f>
        <x:v>Validation</x:v>
      </x:c>
      <x:c r="N309" s="61" t="n">
        <x:f>IF(OR(H309="",E309=0),"",K309/E309)</x:f>
        <x:v>38.916666666666664</x:v>
      </x:c>
    </x:row>
    <x:row r="310">
      <x:c r="A310" s="28" t="n">
        <x:v>40833</x:v>
      </x:c>
      <x:c r="B310" s="23" t="n">
        <x:v>46</x:v>
      </x:c>
      <x:c r="C310" s="23" t="str">
        <x:v>23084</x:v>
      </x:c>
      <x:c r="D310" s="23" t="str">
        <x:v>RABBIT NIGHT LIGHT</x:v>
      </x:c>
      <x:c r="E310" s="34" t="n">
        <x:v>14</x:v>
      </x:c>
      <x:c r="F310" s="55" t="n">
        <x:v>57.82</x:v>
      </x:c>
      <x:c r="G310" s="58" t="n">
        <x:f>E309</x:f>
        <x:v>3</x:v>
      </x:c>
      <x:c r="H310" s="58" t="n">
        <x:f>AVERAGE(E306:E309)</x:f>
        <x:v>117.25</x:v>
      </x:c>
      <x:c r="I310" s="58" t="n">
        <x:f>AVERAGE(E302:E309)</x:f>
        <x:v>302.625</x:v>
      </x:c>
      <x:c r="J310" s="58" t="n">
        <x:f>IF(G310="","",ABS(E310-G310))</x:f>
        <x:v>11</x:v>
      </x:c>
      <x:c r="K310" s="58" t="n">
        <x:f>IF(H310="","",ABS(E310-H310))</x:f>
        <x:v>103.25</x:v>
      </x:c>
      <x:c r="L310" s="58" t="n">
        <x:f>IF(I310="","",ABS(E310-I310))</x:f>
        <x:v>288.625</x:v>
      </x:c>
      <x:c r="M310" s="23" t="str">
        <x:f>IF(B310&gt;44,"Validation","Training")</x:f>
        <x:v>Validation</x:v>
      </x:c>
      <x:c r="N310" s="61" t="n">
        <x:f>IF(OR(H310="",E310=0),"",K310/E310)</x:f>
        <x:v>7.375</x:v>
      </x:c>
    </x:row>
    <x:row r="311">
      <x:c r="A311" s="28" t="n">
        <x:v>40840</x:v>
      </x:c>
      <x:c r="B311" s="23" t="n">
        <x:v>47</x:v>
      </x:c>
      <x:c r="C311" s="23" t="str">
        <x:v>23084</x:v>
      </x:c>
      <x:c r="D311" s="23" t="str">
        <x:v>RABBIT NIGHT LIGHT</x:v>
      </x:c>
      <x:c r="E311" s="34" t="n">
        <x:v>5593</x:v>
      </x:c>
      <x:c r="F311" s="55" t="n">
        <x:v>10739.38</x:v>
      </x:c>
      <x:c r="G311" s="58" t="n">
        <x:f>E310</x:f>
        <x:v>14</x:v>
      </x:c>
      <x:c r="H311" s="58" t="n">
        <x:f>AVERAGE(E307:E310)</x:f>
        <x:v>112</x:v>
      </x:c>
      <x:c r="I311" s="58" t="n">
        <x:f>AVERAGE(E303:E310)</x:f>
        <x:v>208.375</x:v>
      </x:c>
      <x:c r="J311" s="58" t="n">
        <x:f>IF(G311="","",ABS(E311-G311))</x:f>
        <x:v>5579</x:v>
      </x:c>
      <x:c r="K311" s="58" t="n">
        <x:f>IF(H311="","",ABS(E311-H311))</x:f>
        <x:v>5481</x:v>
      </x:c>
      <x:c r="L311" s="58" t="n">
        <x:f>IF(I311="","",ABS(E311-I311))</x:f>
        <x:v>5384.625</x:v>
      </x:c>
      <x:c r="M311" s="23" t="str">
        <x:f>IF(B311&gt;44,"Validation","Training")</x:f>
        <x:v>Validation</x:v>
      </x:c>
      <x:c r="N311" s="61" t="n">
        <x:f>IF(OR(H311="",E311=0),"",K311/E311)</x:f>
        <x:v>0.9799749687108886</x:v>
      </x:c>
    </x:row>
    <x:row r="312">
      <x:c r="A312" s="28" t="n">
        <x:v>40847</x:v>
      </x:c>
      <x:c r="B312" s="23" t="n">
        <x:v>48</x:v>
      </x:c>
      <x:c r="C312" s="23" t="str">
        <x:v>23084</x:v>
      </x:c>
      <x:c r="D312" s="23" t="str">
        <x:v>RABBIT NIGHT LIGHT</x:v>
      </x:c>
      <x:c r="E312" s="34" t="n">
        <x:v>2672</x:v>
      </x:c>
      <x:c r="F312" s="55" t="n">
        <x:v>5249.9</x:v>
      </x:c>
      <x:c r="G312" s="58" t="n">
        <x:f>E311</x:f>
        <x:v>5593</x:v>
      </x:c>
      <x:c r="H312" s="58" t="n">
        <x:f>AVERAGE(E308:E311)</x:f>
        <x:v>1495.75</x:v>
      </x:c>
      <x:c r="I312" s="58" t="n">
        <x:f>AVERAGE(E304:E311)</x:f>
        <x:v>762.375</x:v>
      </x:c>
      <x:c r="J312" s="58" t="n">
        <x:f>IF(G312="","",ABS(E312-G312))</x:f>
        <x:v>2921</x:v>
      </x:c>
      <x:c r="K312" s="58" t="n">
        <x:f>IF(H312="","",ABS(E312-H312))</x:f>
        <x:v>1176.25</x:v>
      </x:c>
      <x:c r="L312" s="58" t="n">
        <x:f>IF(I312="","",ABS(E312-I312))</x:f>
        <x:v>1909.625</x:v>
      </x:c>
      <x:c r="M312" s="23" t="str">
        <x:f>IF(B312&gt;44,"Validation","Training")</x:f>
        <x:v>Validation</x:v>
      </x:c>
      <x:c r="N312" s="61" t="n">
        <x:f>IF(OR(H312="",E312=0),"",K312/E312)</x:f>
        <x:v>0.44021332335329344</x:v>
      </x:c>
    </x:row>
    <x:row r="313">
      <x:c r="A313" s="28" t="n">
        <x:v>40854</x:v>
      </x:c>
      <x:c r="B313" s="23" t="n">
        <x:v>49</x:v>
      </x:c>
      <x:c r="C313" s="23" t="str">
        <x:v>23084</x:v>
      </x:c>
      <x:c r="D313" s="23" t="str">
        <x:v>RABBIT NIGHT LIGHT</x:v>
      </x:c>
      <x:c r="E313" s="34" t="n">
        <x:v>2646</x:v>
      </x:c>
      <x:c r="F313" s="55" t="n">
        <x:v>7521.29</x:v>
      </x:c>
      <x:c r="G313" s="58" t="n">
        <x:f>E312</x:f>
        <x:v>2672</x:v>
      </x:c>
      <x:c r="H313" s="58" t="n">
        <x:f>AVERAGE(E309:E312)</x:f>
        <x:v>2070.5</x:v>
      </x:c>
      <x:c r="I313" s="58" t="n">
        <x:f>AVERAGE(E305:E312)</x:f>
        <x:v>1095.125</x:v>
      </x:c>
      <x:c r="J313" s="58" t="n">
        <x:f>IF(G313="","",ABS(E313-G313))</x:f>
        <x:v>26</x:v>
      </x:c>
      <x:c r="K313" s="58" t="n">
        <x:f>IF(H313="","",ABS(E313-H313))</x:f>
        <x:v>575.5</x:v>
      </x:c>
      <x:c r="L313" s="58" t="n">
        <x:f>IF(I313="","",ABS(E313-I313))</x:f>
        <x:v>1550.875</x:v>
      </x:c>
      <x:c r="M313" s="23" t="str">
        <x:f>IF(B313&gt;44,"Validation","Training")</x:f>
        <x:v>Validation</x:v>
      </x:c>
      <x:c r="N313" s="61" t="n">
        <x:f>IF(OR(H313="",E313=0),"",K313/E313)</x:f>
        <x:v>0.2174981103552532</x:v>
      </x:c>
    </x:row>
    <x:row r="314">
      <x:c r="A314" s="28" t="n">
        <x:v>40861</x:v>
      </x:c>
      <x:c r="B314" s="23" t="n">
        <x:v>50</x:v>
      </x:c>
      <x:c r="C314" s="23" t="str">
        <x:v>23084</x:v>
      </x:c>
      <x:c r="D314" s="23" t="str">
        <x:v>RABBIT NIGHT LIGHT</x:v>
      </x:c>
      <x:c r="E314" s="34" t="n">
        <x:v>4279</x:v>
      </x:c>
      <x:c r="F314" s="55" t="n">
        <x:v>10687.69</x:v>
      </x:c>
      <x:c r="G314" s="58" t="n">
        <x:f>E313</x:f>
        <x:v>2646</x:v>
      </x:c>
      <x:c r="H314" s="58" t="n">
        <x:f>AVERAGE(E310:E313)</x:f>
        <x:v>2731.25</x:v>
      </x:c>
      <x:c r="I314" s="58" t="n">
        <x:f>AVERAGE(E306:E313)</x:f>
        <x:v>1424.25</x:v>
      </x:c>
      <x:c r="J314" s="58" t="n">
        <x:f>IF(G314="","",ABS(E314-G314))</x:f>
        <x:v>1633</x:v>
      </x:c>
      <x:c r="K314" s="58" t="n">
        <x:f>IF(H314="","",ABS(E314-H314))</x:f>
        <x:v>1547.75</x:v>
      </x:c>
      <x:c r="L314" s="58" t="n">
        <x:f>IF(I314="","",ABS(E314-I314))</x:f>
        <x:v>2854.75</x:v>
      </x:c>
      <x:c r="M314" s="23" t="str">
        <x:f>IF(B314&gt;44,"Validation","Training")</x:f>
        <x:v>Validation</x:v>
      </x:c>
      <x:c r="N314" s="61" t="n">
        <x:f>IF(OR(H314="",E314=0),"",K314/E314)</x:f>
        <x:v>0.36170834307081096</x:v>
      </x:c>
    </x:row>
    <x:row r="315">
      <x:c r="A315" s="28" t="n">
        <x:v>40868</x:v>
      </x:c>
      <x:c r="B315" s="23" t="n">
        <x:v>51</x:v>
      </x:c>
      <x:c r="C315" s="23" t="str">
        <x:v>23084</x:v>
      </x:c>
      <x:c r="D315" s="23" t="str">
        <x:v>RABBIT NIGHT LIGHT</x:v>
      </x:c>
      <x:c r="E315" s="34" t="n">
        <x:v>2343</x:v>
      </x:c>
      <x:c r="F315" s="55" t="n">
        <x:v>5109.77</x:v>
      </x:c>
      <x:c r="G315" s="58" t="n">
        <x:f>E314</x:f>
        <x:v>4279</x:v>
      </x:c>
      <x:c r="H315" s="58" t="n">
        <x:f>AVERAGE(E311:E314)</x:f>
        <x:v>3797.5</x:v>
      </x:c>
      <x:c r="I315" s="58" t="n">
        <x:f>AVERAGE(E307:E314)</x:f>
        <x:v>1954.75</x:v>
      </x:c>
      <x:c r="J315" s="58" t="n">
        <x:f>IF(G315="","",ABS(E315-G315))</x:f>
        <x:v>1936</x:v>
      </x:c>
      <x:c r="K315" s="58" t="n">
        <x:f>IF(H315="","",ABS(E315-H315))</x:f>
        <x:v>1454.5</x:v>
      </x:c>
      <x:c r="L315" s="58" t="n">
        <x:f>IF(I315="","",ABS(E315-I315))</x:f>
        <x:v>388.25</x:v>
      </x:c>
      <x:c r="M315" s="23" t="str">
        <x:f>IF(B315&gt;44,"Validation","Training")</x:f>
        <x:v>Validation</x:v>
      </x:c>
      <x:c r="N315" s="61" t="n">
        <x:f>IF(OR(H315="",E315=0),"",K315/E315)</x:f>
        <x:v>0.6207853179684165</x:v>
      </x:c>
    </x:row>
    <x:row r="316">
      <x:c r="A316" s="28" t="n">
        <x:v>40875</x:v>
      </x:c>
      <x:c r="B316" s="23" t="n">
        <x:v>52</x:v>
      </x:c>
      <x:c r="C316" s="23" t="str">
        <x:v>23084</x:v>
      </x:c>
      <x:c r="D316" s="23" t="str">
        <x:v>RABBIT NIGHT LIGHT</x:v>
      </x:c>
      <x:c r="E316" s="34" t="n">
        <x:v>4460</x:v>
      </x:c>
      <x:c r="F316" s="55" t="n">
        <x:v>9265.64</x:v>
      </x:c>
      <x:c r="G316" s="58" t="n">
        <x:f>E315</x:f>
        <x:v>2343</x:v>
      </x:c>
      <x:c r="H316" s="58" t="n">
        <x:f>AVERAGE(E312:E315)</x:f>
        <x:v>2985</x:v>
      </x:c>
      <x:c r="I316" s="58" t="n">
        <x:f>AVERAGE(E308:E315)</x:f>
        <x:v>2240.375</x:v>
      </x:c>
      <x:c r="J316" s="58" t="n">
        <x:f>IF(G316="","",ABS(E316-G316))</x:f>
        <x:v>2117</x:v>
      </x:c>
      <x:c r="K316" s="58" t="n">
        <x:f>IF(H316="","",ABS(E316-H316))</x:f>
        <x:v>1475</x:v>
      </x:c>
      <x:c r="L316" s="58" t="n">
        <x:f>IF(I316="","",ABS(E316-I316))</x:f>
        <x:v>2219.625</x:v>
      </x:c>
      <x:c r="M316" s="23" t="str">
        <x:f>IF(B316&gt;44,"Validation","Training")</x:f>
        <x:v>Validation</x:v>
      </x:c>
      <x:c r="N316" s="61" t="n">
        <x:f>IF(OR(H316="",E316=0),"",K316/E316)</x:f>
        <x:v>0.3307174887892377</x:v>
      </x:c>
    </x:row>
    <x:row r="317">
      <x:c r="A317" s="28" t="n">
        <x:v>40518</x:v>
      </x:c>
      <x:c r="B317" s="23" t="n">
        <x:v>1</x:v>
      </x:c>
      <x:c r="C317" s="23" t="str">
        <x:v>22086</x:v>
      </x:c>
      <x:c r="D317" s="23" t="str">
        <x:v>PAPER CHAIN KIT 50'S CHRISTMAS</x:v>
      </x:c>
      <x:c r="E317" s="34" t="n">
        <x:v>1055</x:v>
      </x:c>
      <x:c r="F317" s="55" t="n">
        <x:v>4048.91</x:v>
      </x:c>
      <x:c r="G317" s="58" t="str">
        <x:f>""</x:f>
      </x:c>
      <x:c r="H317" s="58" t="str">
        <x:f>""</x:f>
      </x:c>
      <x:c r="I317" s="58" t="str">
        <x:f>""</x:f>
      </x:c>
      <x:c r="J317" s="58" t="str">
        <x:f>IF(G317="","",ABS(E317-G317))</x:f>
      </x:c>
      <x:c r="K317" s="58" t="str">
        <x:f>IF(H317="","",ABS(E317-H317))</x:f>
      </x:c>
      <x:c r="L317" s="58" t="str">
        <x:f>IF(I317="","",ABS(E317-I317))</x:f>
      </x:c>
      <x:c r="M317" s="23" t="str">
        <x:f>IF(B317&gt;44,"Validation","Training")</x:f>
        <x:v>Training</x:v>
      </x:c>
      <x:c r="N317" s="61" t="str">
        <x:f>IF(OR(H317="",E317=0),"",K317/E317)</x:f>
      </x:c>
    </x:row>
    <x:row r="318">
      <x:c r="A318" s="28" t="n">
        <x:v>40525</x:v>
      </x:c>
      <x:c r="B318" s="23" t="n">
        <x:v>2</x:v>
      </x:c>
      <x:c r="C318" s="23" t="str">
        <x:v>22086</x:v>
      </x:c>
      <x:c r="D318" s="23" t="str">
        <x:v>PAPER CHAIN KIT 50'S CHRISTMAS</x:v>
      </x:c>
      <x:c r="E318" s="34" t="n">
        <x:v>597</x:v>
      </x:c>
      <x:c r="F318" s="55" t="n">
        <x:v>2149.75</x:v>
      </x:c>
      <x:c r="G318" s="58" t="n">
        <x:f>E317</x:f>
        <x:v>1055</x:v>
      </x:c>
      <x:c r="H318" s="58" t="str">
        <x:f>""</x:f>
      </x:c>
      <x:c r="I318" s="58" t="str">
        <x:f>""</x:f>
      </x:c>
      <x:c r="J318" s="58" t="n">
        <x:f>IF(G318="","",ABS(E318-G318))</x:f>
        <x:v>458</x:v>
      </x:c>
      <x:c r="K318" s="58" t="str">
        <x:f>IF(H318="","",ABS(E318-H318))</x:f>
      </x:c>
      <x:c r="L318" s="58" t="str">
        <x:f>IF(I318="","",ABS(E318-I318))</x:f>
      </x:c>
      <x:c r="M318" s="23" t="str">
        <x:f>IF(B318&gt;44,"Validation","Training")</x:f>
        <x:v>Training</x:v>
      </x:c>
      <x:c r="N318" s="61" t="str">
        <x:f>IF(OR(H318="",E318=0),"",K318/E318)</x:f>
      </x:c>
    </x:row>
    <x:row r="319">
      <x:c r="A319" s="28" t="n">
        <x:v>40532</x:v>
      </x:c>
      <x:c r="B319" s="23" t="n">
        <x:v>3</x:v>
      </x:c>
      <x:c r="C319" s="23" t="str">
        <x:v>22086</x:v>
      </x:c>
      <x:c r="D319" s="23" t="str">
        <x:v>PAPER CHAIN KIT 50'S CHRISTMAS</x:v>
      </x:c>
      <x:c r="E319" s="34" t="n">
        <x:v>125</x:v>
      </x:c>
      <x:c r="F319" s="55" t="n">
        <x:v>602.57</x:v>
      </x:c>
      <x:c r="G319" s="58" t="n">
        <x:f>E318</x:f>
        <x:v>597</x:v>
      </x:c>
      <x:c r="H319" s="58" t="str">
        <x:f>""</x:f>
      </x:c>
      <x:c r="I319" s="58" t="str">
        <x:f>""</x:f>
      </x:c>
      <x:c r="J319" s="58" t="n">
        <x:f>IF(G319="","",ABS(E319-G319))</x:f>
        <x:v>472</x:v>
      </x:c>
      <x:c r="K319" s="58" t="str">
        <x:f>IF(H319="","",ABS(E319-H319))</x:f>
      </x:c>
      <x:c r="L319" s="58" t="str">
        <x:f>IF(I319="","",ABS(E319-I319))</x:f>
      </x:c>
      <x:c r="M319" s="23" t="str">
        <x:f>IF(B319&gt;44,"Validation","Training")</x:f>
        <x:v>Training</x:v>
      </x:c>
      <x:c r="N319" s="61" t="str">
        <x:f>IF(OR(H319="",E319=0),"",K319/E319)</x:f>
      </x:c>
    </x:row>
    <x:row r="320">
      <x:c r="A320" s="28" t="n">
        <x:v>40539</x:v>
      </x:c>
      <x:c r="B320" s="23" t="n">
        <x:v>4</x:v>
      </x:c>
      <x:c r="C320" s="23" t="str">
        <x:v>22086</x:v>
      </x:c>
      <x:c r="D320" s="23" t="str">
        <x:v>PAPER CHAIN KIT 50'S CHRISTMAS</x:v>
      </x:c>
      <x:c r="E320" s="34" t="n">
        <x:v>0</x:v>
      </x:c>
      <x:c r="F320" s="55" t="n">
        <x:v>0</x:v>
      </x:c>
      <x:c r="G320" s="58" t="n">
        <x:f>E319</x:f>
        <x:v>125</x:v>
      </x:c>
      <x:c r="H320" s="58" t="str">
        <x:f>""</x:f>
      </x:c>
      <x:c r="I320" s="58" t="str">
        <x:f>""</x:f>
      </x:c>
      <x:c r="J320" s="58" t="n">
        <x:f>IF(G320="","",ABS(E320-G320))</x:f>
        <x:v>125</x:v>
      </x:c>
      <x:c r="K320" s="58" t="str">
        <x:f>IF(H320="","",ABS(E320-H320))</x:f>
      </x:c>
      <x:c r="L320" s="58" t="str">
        <x:f>IF(I320="","",ABS(E320-I320))</x:f>
      </x:c>
      <x:c r="M320" s="23" t="str">
        <x:f>IF(B320&gt;44,"Validation","Training")</x:f>
        <x:v>Training</x:v>
      </x:c>
      <x:c r="N320" s="61" t="str">
        <x:f>IF(OR(H320="",E320=0),"",K320/E320)</x:f>
      </x:c>
    </x:row>
    <x:row r="321">
      <x:c r="A321" s="28" t="n">
        <x:v>40546</x:v>
      </x:c>
      <x:c r="B321" s="23" t="n">
        <x:v>5</x:v>
      </x:c>
      <x:c r="C321" s="23" t="str">
        <x:v>22086</x:v>
      </x:c>
      <x:c r="D321" s="23" t="str">
        <x:v>PAPER CHAIN KIT 50'S CHRISTMAS</x:v>
      </x:c>
      <x:c r="E321" s="34" t="n">
        <x:v>16</x:v>
      </x:c>
      <x:c r="F321" s="55" t="n">
        <x:v>96.28</x:v>
      </x:c>
      <x:c r="G321" s="58" t="n">
        <x:f>E320</x:f>
        <x:v>0</x:v>
      </x:c>
      <x:c r="H321" s="58" t="n">
        <x:f>AVERAGE(E317:E320)</x:f>
        <x:v>444.25</x:v>
      </x:c>
      <x:c r="I321" s="58" t="str">
        <x:f>""</x:f>
      </x:c>
      <x:c r="J321" s="58" t="str">
        <x:f>IF(G321="","",ABS(E321-G321))</x:f>
      </x:c>
      <x:c r="K321" s="58" t="n">
        <x:f>IF(H321="","",ABS(E321-H321))</x:f>
        <x:v>428.25</x:v>
      </x:c>
      <x:c r="L321" s="58" t="str">
        <x:f>IF(I321="","",ABS(E321-I321))</x:f>
      </x:c>
      <x:c r="M321" s="23" t="str">
        <x:f>IF(B321&gt;44,"Validation","Training")</x:f>
        <x:v>Training</x:v>
      </x:c>
      <x:c r="N321" s="61" t="n">
        <x:f>IF(OR(H321="",E321=0),"",K321/E321)</x:f>
        <x:v>26.765625</x:v>
      </x:c>
    </x:row>
    <x:row r="322">
      <x:c r="A322" s="28" t="n">
        <x:v>40553</x:v>
      </x:c>
      <x:c r="B322" s="23" t="n">
        <x:v>6</x:v>
      </x:c>
      <x:c r="C322" s="23" t="str">
        <x:v>22086</x:v>
      </x:c>
      <x:c r="D322" s="23" t="str">
        <x:v>PAPER CHAIN KIT 50'S CHRISTMAS</x:v>
      </x:c>
      <x:c r="E322" s="34" t="n">
        <x:v>6</x:v>
      </x:c>
      <x:c r="F322" s="55" t="n">
        <x:v>35.46</x:v>
      </x:c>
      <x:c r="G322" s="58" t="n">
        <x:f>E321</x:f>
        <x:v>16</x:v>
      </x:c>
      <x:c r="H322" s="58" t="n">
        <x:f>AVERAGE(E318:E321)</x:f>
        <x:v>184.5</x:v>
      </x:c>
      <x:c r="I322" s="58" t="str">
        <x:f>""</x:f>
      </x:c>
      <x:c r="J322" s="58" t="n">
        <x:f>IF(G322="","",ABS(E322-G322))</x:f>
        <x:v>10</x:v>
      </x:c>
      <x:c r="K322" s="58" t="n">
        <x:f>IF(H322="","",ABS(E322-H322))</x:f>
        <x:v>178.5</x:v>
      </x:c>
      <x:c r="L322" s="58" t="str">
        <x:f>IF(I322="","",ABS(E322-I322))</x:f>
      </x:c>
      <x:c r="M322" s="23" t="str">
        <x:f>IF(B322&gt;44,"Validation","Training")</x:f>
        <x:v>Training</x:v>
      </x:c>
      <x:c r="N322" s="61" t="n">
        <x:f>IF(OR(H322="",E322=0),"",K322/E322)</x:f>
        <x:v>29.75</x:v>
      </x:c>
    </x:row>
    <x:row r="323">
      <x:c r="A323" s="28" t="n">
        <x:v>40560</x:v>
      </x:c>
      <x:c r="B323" s="23" t="n">
        <x:v>7</x:v>
      </x:c>
      <x:c r="C323" s="23" t="str">
        <x:v>22086</x:v>
      </x:c>
      <x:c r="D323" s="23" t="str">
        <x:v>PAPER CHAIN KIT 50'S CHRISTMAS</x:v>
      </x:c>
      <x:c r="E323" s="34" t="n">
        <x:v>2</x:v>
      </x:c>
      <x:c r="F323" s="55" t="n">
        <x:v>11.58</x:v>
      </x:c>
      <x:c r="G323" s="58" t="n">
        <x:f>E322</x:f>
        <x:v>6</x:v>
      </x:c>
      <x:c r="H323" s="58" t="n">
        <x:f>AVERAGE(E319:E322)</x:f>
        <x:v>36.75</x:v>
      </x:c>
      <x:c r="I323" s="58" t="str">
        <x:f>""</x:f>
      </x:c>
      <x:c r="J323" s="58" t="n">
        <x:f>IF(G323="","",ABS(E323-G323))</x:f>
        <x:v>4</x:v>
      </x:c>
      <x:c r="K323" s="58" t="n">
        <x:f>IF(H323="","",ABS(E323-H323))</x:f>
        <x:v>34.75</x:v>
      </x:c>
      <x:c r="L323" s="58" t="str">
        <x:f>IF(I323="","",ABS(E323-I323))</x:f>
      </x:c>
      <x:c r="M323" s="23" t="str">
        <x:f>IF(B323&gt;44,"Validation","Training")</x:f>
        <x:v>Training</x:v>
      </x:c>
      <x:c r="N323" s="61" t="n">
        <x:f>IF(OR(H323="",E323=0),"",K323/E323)</x:f>
        <x:v>17.375</x:v>
      </x:c>
    </x:row>
    <x:row r="324">
      <x:c r="A324" s="28" t="n">
        <x:v>40567</x:v>
      </x:c>
      <x:c r="B324" s="23" t="n">
        <x:v>8</x:v>
      </x:c>
      <x:c r="C324" s="23" t="str">
        <x:v>22086</x:v>
      </x:c>
      <x:c r="D324" s="23" t="str">
        <x:v>PAPER CHAIN KIT 50'S CHRISTMAS</x:v>
      </x:c>
      <x:c r="E324" s="34" t="n">
        <x:v>0</x:v>
      </x:c>
      <x:c r="F324" s="55" t="n">
        <x:v>0</x:v>
      </x:c>
      <x:c r="G324" s="58" t="n">
        <x:f>E323</x:f>
        <x:v>2</x:v>
      </x:c>
      <x:c r="H324" s="58" t="n">
        <x:f>AVERAGE(E320:E323)</x:f>
        <x:v>6</x:v>
      </x:c>
      <x:c r="I324" s="58" t="str">
        <x:f>""</x:f>
      </x:c>
      <x:c r="J324" s="58" t="n">
        <x:f>IF(G324="","",ABS(E324-G324))</x:f>
        <x:v>2</x:v>
      </x:c>
      <x:c r="K324" s="58" t="n">
        <x:f>IF(H324="","",ABS(E324-H324))</x:f>
        <x:v>6</x:v>
      </x:c>
      <x:c r="L324" s="58" t="str">
        <x:f>IF(I324="","",ABS(E324-I324))</x:f>
      </x:c>
      <x:c r="M324" s="23" t="str">
        <x:f>IF(B324&gt;44,"Validation","Training")</x:f>
        <x:v>Training</x:v>
      </x:c>
      <x:c r="N324" s="61" t="str">
        <x:f>IF(OR(H324="",E324=0),"",K324/E324)</x:f>
      </x:c>
    </x:row>
    <x:row r="325">
      <x:c r="A325" s="28" t="n">
        <x:v>40574</x:v>
      </x:c>
      <x:c r="B325" s="23" t="n">
        <x:v>9</x:v>
      </x:c>
      <x:c r="C325" s="23" t="str">
        <x:v>22086</x:v>
      </x:c>
      <x:c r="D325" s="23" t="str">
        <x:v>PAPER CHAIN KIT 50'S CHRISTMAS</x:v>
      </x:c>
      <x:c r="E325" s="34" t="n">
        <x:v>0</x:v>
      </x:c>
      <x:c r="F325" s="55" t="n">
        <x:v>0</x:v>
      </x:c>
      <x:c r="G325" s="58" t="n">
        <x:f>E324</x:f>
        <x:v>0</x:v>
      </x:c>
      <x:c r="H325" s="58" t="n">
        <x:f>AVERAGE(E321:E324)</x:f>
        <x:v>6</x:v>
      </x:c>
      <x:c r="I325" s="58" t="n">
        <x:f>AVERAGE(E317:E324)</x:f>
        <x:v>225.125</x:v>
      </x:c>
      <x:c r="J325" s="58" t="str">
        <x:f>IF(G325="","",ABS(E325-G325))</x:f>
      </x:c>
      <x:c r="K325" s="58" t="n">
        <x:f>IF(H325="","",ABS(E325-H325))</x:f>
        <x:v>6</x:v>
      </x:c>
      <x:c r="L325" s="58" t="n">
        <x:f>IF(I325="","",ABS(E325-I325))</x:f>
        <x:v>225.125</x:v>
      </x:c>
      <x:c r="M325" s="23" t="str">
        <x:f>IF(B325&gt;44,"Validation","Training")</x:f>
        <x:v>Training</x:v>
      </x:c>
      <x:c r="N325" s="61" t="str">
        <x:f>IF(OR(H325="",E325=0),"",K325/E325)</x:f>
      </x:c>
    </x:row>
    <x:row r="326">
      <x:c r="A326" s="28" t="n">
        <x:v>40581</x:v>
      </x:c>
      <x:c r="B326" s="23" t="n">
        <x:v>10</x:v>
      </x:c>
      <x:c r="C326" s="23" t="str">
        <x:v>22086</x:v>
      </x:c>
      <x:c r="D326" s="23" t="str">
        <x:v>PAPER CHAIN KIT 50'S CHRISTMAS</x:v>
      </x:c>
      <x:c r="E326" s="34" t="n">
        <x:v>0</x:v>
      </x:c>
      <x:c r="F326" s="55" t="n">
        <x:v>0</x:v>
      </x:c>
      <x:c r="G326" s="58" t="n">
        <x:f>E325</x:f>
        <x:v>0</x:v>
      </x:c>
      <x:c r="H326" s="58" t="n">
        <x:f>AVERAGE(E322:E325)</x:f>
        <x:v>2</x:v>
      </x:c>
      <x:c r="I326" s="58" t="n">
        <x:f>AVERAGE(E318:E325)</x:f>
        <x:v>93.25</x:v>
      </x:c>
      <x:c r="J326" s="58" t="str">
        <x:f>IF(G326="","",ABS(E326-G326))</x:f>
      </x:c>
      <x:c r="K326" s="58" t="n">
        <x:f>IF(H326="","",ABS(E326-H326))</x:f>
        <x:v>2</x:v>
      </x:c>
      <x:c r="L326" s="58" t="n">
        <x:f>IF(I326="","",ABS(E326-I326))</x:f>
        <x:v>93.25</x:v>
      </x:c>
      <x:c r="M326" s="23" t="str">
        <x:f>IF(B326&gt;44,"Validation","Training")</x:f>
        <x:v>Training</x:v>
      </x:c>
      <x:c r="N326" s="61" t="str">
        <x:f>IF(OR(H326="",E326=0),"",K326/E326)</x:f>
      </x:c>
    </x:row>
    <x:row r="327">
      <x:c r="A327" s="28" t="n">
        <x:v>40588</x:v>
      </x:c>
      <x:c r="B327" s="23" t="n">
        <x:v>11</x:v>
      </x:c>
      <x:c r="C327" s="23" t="str">
        <x:v>22086</x:v>
      </x:c>
      <x:c r="D327" s="23" t="str">
        <x:v>PAPER CHAIN KIT 50'S CHRISTMAS</x:v>
      </x:c>
      <x:c r="E327" s="34" t="n">
        <x:v>2</x:v>
      </x:c>
      <x:c r="F327" s="55" t="n">
        <x:v>13.26</x:v>
      </x:c>
      <x:c r="G327" s="58" t="n">
        <x:f>E326</x:f>
        <x:v>0</x:v>
      </x:c>
      <x:c r="H327" s="58" t="n">
        <x:f>AVERAGE(E323:E326)</x:f>
        <x:v>0.5</x:v>
      </x:c>
      <x:c r="I327" s="58" t="n">
        <x:f>AVERAGE(E319:E326)</x:f>
        <x:v>18.625</x:v>
      </x:c>
      <x:c r="J327" s="58" t="str">
        <x:f>IF(G327="","",ABS(E327-G327))</x:f>
      </x:c>
      <x:c r="K327" s="58" t="n">
        <x:f>IF(H327="","",ABS(E327-H327))</x:f>
        <x:v>1.5</x:v>
      </x:c>
      <x:c r="L327" s="58" t="n">
        <x:f>IF(I327="","",ABS(E327-I327))</x:f>
        <x:v>16.625</x:v>
      </x:c>
      <x:c r="M327" s="23" t="str">
        <x:f>IF(B327&gt;44,"Validation","Training")</x:f>
        <x:v>Training</x:v>
      </x:c>
      <x:c r="N327" s="61" t="n">
        <x:f>IF(OR(H327="",E327=0),"",K327/E327)</x:f>
        <x:v>0.75</x:v>
      </x:c>
    </x:row>
    <x:row r="328">
      <x:c r="A328" s="28" t="n">
        <x:v>40595</x:v>
      </x:c>
      <x:c r="B328" s="23" t="n">
        <x:v>12</x:v>
      </x:c>
      <x:c r="C328" s="23" t="str">
        <x:v>22086</x:v>
      </x:c>
      <x:c r="D328" s="23" t="str">
        <x:v>PAPER CHAIN KIT 50'S CHRISTMAS</x:v>
      </x:c>
      <x:c r="E328" s="34" t="n">
        <x:v>2</x:v>
      </x:c>
      <x:c r="F328" s="55" t="n">
        <x:v>5.9</x:v>
      </x:c>
      <x:c r="G328" s="58" t="n">
        <x:f>E327</x:f>
        <x:v>2</x:v>
      </x:c>
      <x:c r="H328" s="58" t="n">
        <x:f>AVERAGE(E324:E327)</x:f>
        <x:v>0.5</x:v>
      </x:c>
      <x:c r="I328" s="58" t="n">
        <x:f>AVERAGE(E320:E327)</x:f>
        <x:v>3.25</x:v>
      </x:c>
      <x:c r="J328" s="58" t="n">
        <x:f>IF(G328="","",ABS(E328-G328))</x:f>
        <x:v>0</x:v>
      </x:c>
      <x:c r="K328" s="58" t="n">
        <x:f>IF(H328="","",ABS(E328-H328))</x:f>
        <x:v>1.5</x:v>
      </x:c>
      <x:c r="L328" s="58" t="n">
        <x:f>IF(I328="","",ABS(E328-I328))</x:f>
        <x:v>1.25</x:v>
      </x:c>
      <x:c r="M328" s="23" t="str">
        <x:f>IF(B328&gt;44,"Validation","Training")</x:f>
        <x:v>Training</x:v>
      </x:c>
      <x:c r="N328" s="61" t="n">
        <x:f>IF(OR(H328="",E328=0),"",K328/E328)</x:f>
        <x:v>0.75</x:v>
      </x:c>
    </x:row>
    <x:row r="329">
      <x:c r="A329" s="28" t="n">
        <x:v>40602</x:v>
      </x:c>
      <x:c r="B329" s="23" t="n">
        <x:v>13</x:v>
      </x:c>
      <x:c r="C329" s="23" t="str">
        <x:v>22086</x:v>
      </x:c>
      <x:c r="D329" s="23" t="str">
        <x:v>PAPER CHAIN KIT 50'S CHRISTMAS</x:v>
      </x:c>
      <x:c r="E329" s="34" t="n">
        <x:v>45</x:v>
      </x:c>
      <x:c r="F329" s="55" t="n">
        <x:v>119.59</x:v>
      </x:c>
      <x:c r="G329" s="58" t="n">
        <x:f>E328</x:f>
        <x:v>2</x:v>
      </x:c>
      <x:c r="H329" s="58" t="n">
        <x:f>AVERAGE(E325:E328)</x:f>
        <x:v>1</x:v>
      </x:c>
      <x:c r="I329" s="58" t="n">
        <x:f>AVERAGE(E321:E328)</x:f>
        <x:v>3.5</x:v>
      </x:c>
      <x:c r="J329" s="58" t="n">
        <x:f>IF(G329="","",ABS(E329-G329))</x:f>
        <x:v>43</x:v>
      </x:c>
      <x:c r="K329" s="58" t="n">
        <x:f>IF(H329="","",ABS(E329-H329))</x:f>
        <x:v>44</x:v>
      </x:c>
      <x:c r="L329" s="58" t="n">
        <x:f>IF(I329="","",ABS(E329-I329))</x:f>
        <x:v>41.5</x:v>
      </x:c>
      <x:c r="M329" s="23" t="str">
        <x:f>IF(B329&gt;44,"Validation","Training")</x:f>
        <x:v>Training</x:v>
      </x:c>
      <x:c r="N329" s="61" t="n">
        <x:f>IF(OR(H329="",E329=0),"",K329/E329)</x:f>
        <x:v>0.9777777777777777</x:v>
      </x:c>
    </x:row>
    <x:row r="330">
      <x:c r="A330" s="28" t="n">
        <x:v>40609</x:v>
      </x:c>
      <x:c r="B330" s="23" t="n">
        <x:v>14</x:v>
      </x:c>
      <x:c r="C330" s="23" t="str">
        <x:v>22086</x:v>
      </x:c>
      <x:c r="D330" s="23" t="str">
        <x:v>PAPER CHAIN KIT 50'S CHRISTMAS</x:v>
      </x:c>
      <x:c r="E330" s="34" t="n">
        <x:v>1</x:v>
      </x:c>
      <x:c r="F330" s="55" t="n">
        <x:v>2.95</x:v>
      </x:c>
      <x:c r="G330" s="58" t="n">
        <x:f>E329</x:f>
        <x:v>45</x:v>
      </x:c>
      <x:c r="H330" s="58" t="n">
        <x:f>AVERAGE(E326:E329)</x:f>
        <x:v>12.25</x:v>
      </x:c>
      <x:c r="I330" s="58" t="n">
        <x:f>AVERAGE(E322:E329)</x:f>
        <x:v>7.125</x:v>
      </x:c>
      <x:c r="J330" s="58" t="n">
        <x:f>IF(G330="","",ABS(E330-G330))</x:f>
        <x:v>44</x:v>
      </x:c>
      <x:c r="K330" s="58" t="n">
        <x:f>IF(H330="","",ABS(E330-H330))</x:f>
        <x:v>11.25</x:v>
      </x:c>
      <x:c r="L330" s="58" t="n">
        <x:f>IF(I330="","",ABS(E330-I330))</x:f>
        <x:v>6.125</x:v>
      </x:c>
      <x:c r="M330" s="23" t="str">
        <x:f>IF(B330&gt;44,"Validation","Training")</x:f>
        <x:v>Training</x:v>
      </x:c>
      <x:c r="N330" s="61" t="n">
        <x:f>IF(OR(H330="",E330=0),"",K330/E330)</x:f>
        <x:v>11.25</x:v>
      </x:c>
    </x:row>
    <x:row r="331">
      <x:c r="A331" s="28" t="n">
        <x:v>40616</x:v>
      </x:c>
      <x:c r="B331" s="23" t="n">
        <x:v>15</x:v>
      </x:c>
      <x:c r="C331" s="23" t="str">
        <x:v>22086</x:v>
      </x:c>
      <x:c r="D331" s="23" t="str">
        <x:v>PAPER CHAIN KIT 50'S CHRISTMAS</x:v>
      </x:c>
      <x:c r="E331" s="34" t="n">
        <x:v>0</x:v>
      </x:c>
      <x:c r="F331" s="55" t="n">
        <x:v>0</x:v>
      </x:c>
      <x:c r="G331" s="58" t="n">
        <x:f>E330</x:f>
        <x:v>1</x:v>
      </x:c>
      <x:c r="H331" s="58" t="n">
        <x:f>AVERAGE(E327:E330)</x:f>
        <x:v>12.5</x:v>
      </x:c>
      <x:c r="I331" s="58" t="n">
        <x:f>AVERAGE(E323:E330)</x:f>
        <x:v>6.5</x:v>
      </x:c>
      <x:c r="J331" s="58" t="n">
        <x:f>IF(G331="","",ABS(E331-G331))</x:f>
        <x:v>1</x:v>
      </x:c>
      <x:c r="K331" s="58" t="n">
        <x:f>IF(H331="","",ABS(E331-H331))</x:f>
        <x:v>12.5</x:v>
      </x:c>
      <x:c r="L331" s="58" t="n">
        <x:f>IF(I331="","",ABS(E331-I331))</x:f>
        <x:v>6.5</x:v>
      </x:c>
      <x:c r="M331" s="23" t="str">
        <x:f>IF(B331&gt;44,"Validation","Training")</x:f>
        <x:v>Training</x:v>
      </x:c>
      <x:c r="N331" s="61" t="str">
        <x:f>IF(OR(H331="",E331=0),"",K331/E331)</x:f>
      </x:c>
    </x:row>
    <x:row r="332">
      <x:c r="A332" s="28" t="n">
        <x:v>40623</x:v>
      </x:c>
      <x:c r="B332" s="23" t="n">
        <x:v>16</x:v>
      </x:c>
      <x:c r="C332" s="23" t="str">
        <x:v>22086</x:v>
      </x:c>
      <x:c r="D332" s="23" t="str">
        <x:v>PAPER CHAIN KIT 50'S CHRISTMAS</x:v>
      </x:c>
      <x:c r="E332" s="34" t="n">
        <x:v>42</x:v>
      </x:c>
      <x:c r="F332" s="55" t="n">
        <x:v>115.26</x:v>
      </x:c>
      <x:c r="G332" s="58" t="n">
        <x:f>E331</x:f>
        <x:v>0</x:v>
      </x:c>
      <x:c r="H332" s="58" t="n">
        <x:f>AVERAGE(E328:E331)</x:f>
        <x:v>12</x:v>
      </x:c>
      <x:c r="I332" s="58" t="n">
        <x:f>AVERAGE(E324:E331)</x:f>
        <x:v>6.25</x:v>
      </x:c>
      <x:c r="J332" s="58" t="str">
        <x:f>IF(G332="","",ABS(E332-G332))</x:f>
      </x:c>
      <x:c r="K332" s="58" t="n">
        <x:f>IF(H332="","",ABS(E332-H332))</x:f>
        <x:v>30</x:v>
      </x:c>
      <x:c r="L332" s="58" t="n">
        <x:f>IF(I332="","",ABS(E332-I332))</x:f>
        <x:v>35.75</x:v>
      </x:c>
      <x:c r="M332" s="23" t="str">
        <x:f>IF(B332&gt;44,"Validation","Training")</x:f>
        <x:v>Training</x:v>
      </x:c>
      <x:c r="N332" s="61" t="n">
        <x:f>IF(OR(H332="",E332=0),"",K332/E332)</x:f>
        <x:v>0.7142857142857143</x:v>
      </x:c>
    </x:row>
    <x:row r="333">
      <x:c r="A333" s="28" t="n">
        <x:v>40630</x:v>
      </x:c>
      <x:c r="B333" s="23" t="n">
        <x:v>17</x:v>
      </x:c>
      <x:c r="C333" s="23" t="str">
        <x:v>22086</x:v>
      </x:c>
      <x:c r="D333" s="23" t="str">
        <x:v>PAPER CHAIN KIT 50'S CHRISTMAS</x:v>
      </x:c>
      <x:c r="E333" s="34" t="n">
        <x:v>3</x:v>
      </x:c>
      <x:c r="F333" s="55" t="n">
        <x:v>8.85</x:v>
      </x:c>
      <x:c r="G333" s="58" t="n">
        <x:f>E332</x:f>
        <x:v>42</x:v>
      </x:c>
      <x:c r="H333" s="58" t="n">
        <x:f>AVERAGE(E329:E332)</x:f>
        <x:v>22</x:v>
      </x:c>
      <x:c r="I333" s="58" t="n">
        <x:f>AVERAGE(E325:E332)</x:f>
        <x:v>11.5</x:v>
      </x:c>
      <x:c r="J333" s="58" t="n">
        <x:f>IF(G333="","",ABS(E333-G333))</x:f>
        <x:v>39</x:v>
      </x:c>
      <x:c r="K333" s="58" t="n">
        <x:f>IF(H333="","",ABS(E333-H333))</x:f>
        <x:v>19</x:v>
      </x:c>
      <x:c r="L333" s="58" t="n">
        <x:f>IF(I333="","",ABS(E333-I333))</x:f>
        <x:v>8.5</x:v>
      </x:c>
      <x:c r="M333" s="23" t="str">
        <x:f>IF(B333&gt;44,"Validation","Training")</x:f>
        <x:v>Training</x:v>
      </x:c>
      <x:c r="N333" s="61" t="n">
        <x:f>IF(OR(H333="",E333=0),"",K333/E333)</x:f>
        <x:v>6.333333333333333</x:v>
      </x:c>
    </x:row>
    <x:row r="334">
      <x:c r="A334" s="28" t="n">
        <x:v>40637</x:v>
      </x:c>
      <x:c r="B334" s="23" t="n">
        <x:v>18</x:v>
      </x:c>
      <x:c r="C334" s="23" t="str">
        <x:v>22086</x:v>
      </x:c>
      <x:c r="D334" s="23" t="str">
        <x:v>PAPER CHAIN KIT 50'S CHRISTMAS</x:v>
      </x:c>
      <x:c r="E334" s="34" t="n">
        <x:v>9</x:v>
      </x:c>
      <x:c r="F334" s="55" t="n">
        <x:v>29.39</x:v>
      </x:c>
      <x:c r="G334" s="58" t="n">
        <x:f>E333</x:f>
        <x:v>3</x:v>
      </x:c>
      <x:c r="H334" s="58" t="n">
        <x:f>AVERAGE(E330:E333)</x:f>
        <x:v>11.5</x:v>
      </x:c>
      <x:c r="I334" s="58" t="n">
        <x:f>AVERAGE(E326:E333)</x:f>
        <x:v>11.875</x:v>
      </x:c>
      <x:c r="J334" s="58" t="n">
        <x:f>IF(G334="","",ABS(E334-G334))</x:f>
        <x:v>6</x:v>
      </x:c>
      <x:c r="K334" s="58" t="n">
        <x:f>IF(H334="","",ABS(E334-H334))</x:f>
        <x:v>2.5</x:v>
      </x:c>
      <x:c r="L334" s="58" t="n">
        <x:f>IF(I334="","",ABS(E334-I334))</x:f>
        <x:v>2.875</x:v>
      </x:c>
      <x:c r="M334" s="23" t="str">
        <x:f>IF(B334&gt;44,"Validation","Training")</x:f>
        <x:v>Training</x:v>
      </x:c>
      <x:c r="N334" s="61" t="n">
        <x:f>IF(OR(H334="",E334=0),"",K334/E334)</x:f>
        <x:v>0.2777777777777778</x:v>
      </x:c>
    </x:row>
    <x:row r="335">
      <x:c r="A335" s="28" t="n">
        <x:v>40644</x:v>
      </x:c>
      <x:c r="B335" s="23" t="n">
        <x:v>19</x:v>
      </x:c>
      <x:c r="C335" s="23" t="str">
        <x:v>22086</x:v>
      </x:c>
      <x:c r="D335" s="23" t="str">
        <x:v>PAPER CHAIN KIT 50'S CHRISTMAS</x:v>
      </x:c>
      <x:c r="E335" s="34" t="n">
        <x:v>0</x:v>
      </x:c>
      <x:c r="F335" s="55" t="n">
        <x:v>0</x:v>
      </x:c>
      <x:c r="G335" s="58" t="n">
        <x:f>E334</x:f>
        <x:v>9</x:v>
      </x:c>
      <x:c r="H335" s="58" t="n">
        <x:f>AVERAGE(E331:E334)</x:f>
        <x:v>13.5</x:v>
      </x:c>
      <x:c r="I335" s="58" t="n">
        <x:f>AVERAGE(E327:E334)</x:f>
        <x:v>13</x:v>
      </x:c>
      <x:c r="J335" s="58" t="n">
        <x:f>IF(G335="","",ABS(E335-G335))</x:f>
        <x:v>9</x:v>
      </x:c>
      <x:c r="K335" s="58" t="n">
        <x:f>IF(H335="","",ABS(E335-H335))</x:f>
        <x:v>13.5</x:v>
      </x:c>
      <x:c r="L335" s="58" t="n">
        <x:f>IF(I335="","",ABS(E335-I335))</x:f>
        <x:v>13</x:v>
      </x:c>
      <x:c r="M335" s="23" t="str">
        <x:f>IF(B335&gt;44,"Validation","Training")</x:f>
        <x:v>Training</x:v>
      </x:c>
      <x:c r="N335" s="61" t="str">
        <x:f>IF(OR(H335="",E335=0),"",K335/E335)</x:f>
      </x:c>
    </x:row>
    <x:row r="336">
      <x:c r="A336" s="28" t="n">
        <x:v>40651</x:v>
      </x:c>
      <x:c r="B336" s="23" t="n">
        <x:v>20</x:v>
      </x:c>
      <x:c r="C336" s="23" t="str">
        <x:v>22086</x:v>
      </x:c>
      <x:c r="D336" s="23" t="str">
        <x:v>PAPER CHAIN KIT 50'S CHRISTMAS</x:v>
      </x:c>
      <x:c r="E336" s="34" t="n">
        <x:v>1</x:v>
      </x:c>
      <x:c r="F336" s="55" t="n">
        <x:v>5.79</x:v>
      </x:c>
      <x:c r="G336" s="58" t="n">
        <x:f>E335</x:f>
        <x:v>0</x:v>
      </x:c>
      <x:c r="H336" s="58" t="n">
        <x:f>AVERAGE(E332:E335)</x:f>
        <x:v>13.5</x:v>
      </x:c>
      <x:c r="I336" s="58" t="n">
        <x:f>AVERAGE(E328:E335)</x:f>
        <x:v>12.75</x:v>
      </x:c>
      <x:c r="J336" s="58" t="str">
        <x:f>IF(G336="","",ABS(E336-G336))</x:f>
      </x:c>
      <x:c r="K336" s="58" t="n">
        <x:f>IF(H336="","",ABS(E336-H336))</x:f>
        <x:v>12.5</x:v>
      </x:c>
      <x:c r="L336" s="58" t="n">
        <x:f>IF(I336="","",ABS(E336-I336))</x:f>
        <x:v>11.75</x:v>
      </x:c>
      <x:c r="M336" s="23" t="str">
        <x:f>IF(B336&gt;44,"Validation","Training")</x:f>
        <x:v>Training</x:v>
      </x:c>
      <x:c r="N336" s="61" t="n">
        <x:f>IF(OR(H336="",E336=0),"",K336/E336)</x:f>
        <x:v>12.5</x:v>
      </x:c>
    </x:row>
    <x:row r="337">
      <x:c r="A337" s="28" t="n">
        <x:v>40658</x:v>
      </x:c>
      <x:c r="B337" s="23" t="n">
        <x:v>21</x:v>
      </x:c>
      <x:c r="C337" s="23" t="str">
        <x:v>22086</x:v>
      </x:c>
      <x:c r="D337" s="23" t="str">
        <x:v>PAPER CHAIN KIT 50'S CHRISTMAS</x:v>
      </x:c>
      <x:c r="E337" s="34" t="n">
        <x:v>0</x:v>
      </x:c>
      <x:c r="F337" s="55" t="n">
        <x:v>0</x:v>
      </x:c>
      <x:c r="G337" s="58" t="n">
        <x:f>E336</x:f>
        <x:v>1</x:v>
      </x:c>
      <x:c r="H337" s="58" t="n">
        <x:f>AVERAGE(E333:E336)</x:f>
        <x:v>3.25</x:v>
      </x:c>
      <x:c r="I337" s="58" t="n">
        <x:f>AVERAGE(E329:E336)</x:f>
        <x:v>12.625</x:v>
      </x:c>
      <x:c r="J337" s="58" t="n">
        <x:f>IF(G337="","",ABS(E337-G337))</x:f>
        <x:v>1</x:v>
      </x:c>
      <x:c r="K337" s="58" t="n">
        <x:f>IF(H337="","",ABS(E337-H337))</x:f>
        <x:v>3.25</x:v>
      </x:c>
      <x:c r="L337" s="58" t="n">
        <x:f>IF(I337="","",ABS(E337-I337))</x:f>
        <x:v>12.625</x:v>
      </x:c>
      <x:c r="M337" s="23" t="str">
        <x:f>IF(B337&gt;44,"Validation","Training")</x:f>
        <x:v>Training</x:v>
      </x:c>
      <x:c r="N337" s="61" t="str">
        <x:f>IF(OR(H337="",E337=0),"",K337/E337)</x:f>
      </x:c>
    </x:row>
    <x:row r="338">
      <x:c r="A338" s="28" t="n">
        <x:v>40665</x:v>
      </x:c>
      <x:c r="B338" s="23" t="n">
        <x:v>22</x:v>
      </x:c>
      <x:c r="C338" s="23" t="str">
        <x:v>22086</x:v>
      </x:c>
      <x:c r="D338" s="23" t="str">
        <x:v>PAPER CHAIN KIT 50'S CHRISTMAS</x:v>
      </x:c>
      <x:c r="E338" s="34" t="n">
        <x:v>4</x:v>
      </x:c>
      <x:c r="F338" s="55" t="n">
        <x:v>23.16</x:v>
      </x:c>
      <x:c r="G338" s="58" t="n">
        <x:f>E337</x:f>
        <x:v>0</x:v>
      </x:c>
      <x:c r="H338" s="58" t="n">
        <x:f>AVERAGE(E334:E337)</x:f>
        <x:v>2.5</x:v>
      </x:c>
      <x:c r="I338" s="58" t="n">
        <x:f>AVERAGE(E330:E337)</x:f>
        <x:v>7</x:v>
      </x:c>
      <x:c r="J338" s="58" t="str">
        <x:f>IF(G338="","",ABS(E338-G338))</x:f>
      </x:c>
      <x:c r="K338" s="58" t="n">
        <x:f>IF(H338="","",ABS(E338-H338))</x:f>
        <x:v>1.5</x:v>
      </x:c>
      <x:c r="L338" s="58" t="n">
        <x:f>IF(I338="","",ABS(E338-I338))</x:f>
        <x:v>3</x:v>
      </x:c>
      <x:c r="M338" s="23" t="str">
        <x:f>IF(B338&gt;44,"Validation","Training")</x:f>
        <x:v>Training</x:v>
      </x:c>
      <x:c r="N338" s="61" t="n">
        <x:f>IF(OR(H338="",E338=0),"",K338/E338)</x:f>
        <x:v>0.375</x:v>
      </x:c>
    </x:row>
    <x:row r="339">
      <x:c r="A339" s="28" t="n">
        <x:v>40672</x:v>
      </x:c>
      <x:c r="B339" s="23" t="n">
        <x:v>23</x:v>
      </x:c>
      <x:c r="C339" s="23" t="str">
        <x:v>22086</x:v>
      </x:c>
      <x:c r="D339" s="23" t="str">
        <x:v>PAPER CHAIN KIT 50'S CHRISTMAS</x:v>
      </x:c>
      <x:c r="E339" s="34" t="n">
        <x:v>13</x:v>
      </x:c>
      <x:c r="F339" s="55" t="n">
        <x:v>42.03</x:v>
      </x:c>
      <x:c r="G339" s="58" t="n">
        <x:f>E338</x:f>
        <x:v>4</x:v>
      </x:c>
      <x:c r="H339" s="58" t="n">
        <x:f>AVERAGE(E335:E338)</x:f>
        <x:v>1.25</x:v>
      </x:c>
      <x:c r="I339" s="58" t="n">
        <x:f>AVERAGE(E331:E338)</x:f>
        <x:v>7.375</x:v>
      </x:c>
      <x:c r="J339" s="58" t="n">
        <x:f>IF(G339="","",ABS(E339-G339))</x:f>
        <x:v>9</x:v>
      </x:c>
      <x:c r="K339" s="58" t="n">
        <x:f>IF(H339="","",ABS(E339-H339))</x:f>
        <x:v>11.75</x:v>
      </x:c>
      <x:c r="L339" s="58" t="n">
        <x:f>IF(I339="","",ABS(E339-I339))</x:f>
        <x:v>5.625</x:v>
      </x:c>
      <x:c r="M339" s="23" t="str">
        <x:f>IF(B339&gt;44,"Validation","Training")</x:f>
        <x:v>Training</x:v>
      </x:c>
      <x:c r="N339" s="61" t="n">
        <x:f>IF(OR(H339="",E339=0),"",K339/E339)</x:f>
        <x:v>0.9038461538461539</x:v>
      </x:c>
    </x:row>
    <x:row r="340">
      <x:c r="A340" s="28" t="n">
        <x:v>40679</x:v>
      </x:c>
      <x:c r="B340" s="23" t="n">
        <x:v>24</x:v>
      </x:c>
      <x:c r="C340" s="23" t="str">
        <x:v>22086</x:v>
      </x:c>
      <x:c r="D340" s="23" t="str">
        <x:v>PAPER CHAIN KIT 50'S CHRISTMAS</x:v>
      </x:c>
      <x:c r="E340" s="34" t="n">
        <x:v>0</x:v>
      </x:c>
      <x:c r="F340" s="55" t="n">
        <x:v>0</x:v>
      </x:c>
      <x:c r="G340" s="58" t="n">
        <x:f>E339</x:f>
        <x:v>13</x:v>
      </x:c>
      <x:c r="H340" s="58" t="n">
        <x:f>AVERAGE(E336:E339)</x:f>
        <x:v>4.5</x:v>
      </x:c>
      <x:c r="I340" s="58" t="n">
        <x:f>AVERAGE(E332:E339)</x:f>
        <x:v>9</x:v>
      </x:c>
      <x:c r="J340" s="58" t="n">
        <x:f>IF(G340="","",ABS(E340-G340))</x:f>
        <x:v>13</x:v>
      </x:c>
      <x:c r="K340" s="58" t="n">
        <x:f>IF(H340="","",ABS(E340-H340))</x:f>
        <x:v>4.5</x:v>
      </x:c>
      <x:c r="L340" s="58" t="n">
        <x:f>IF(I340="","",ABS(E340-I340))</x:f>
        <x:v>9</x:v>
      </x:c>
      <x:c r="M340" s="23" t="str">
        <x:f>IF(B340&gt;44,"Validation","Training")</x:f>
        <x:v>Training</x:v>
      </x:c>
      <x:c r="N340" s="61" t="str">
        <x:f>IF(OR(H340="",E340=0),"",K340/E340)</x:f>
      </x:c>
    </x:row>
    <x:row r="341">
      <x:c r="A341" s="28" t="n">
        <x:v>40686</x:v>
      </x:c>
      <x:c r="B341" s="23" t="n">
        <x:v>25</x:v>
      </x:c>
      <x:c r="C341" s="23" t="str">
        <x:v>22086</x:v>
      </x:c>
      <x:c r="D341" s="23" t="str">
        <x:v>PAPER CHAIN KIT 50'S CHRISTMAS</x:v>
      </x:c>
      <x:c r="E341" s="34" t="n">
        <x:v>0</x:v>
      </x:c>
      <x:c r="F341" s="55" t="n">
        <x:v>0</x:v>
      </x:c>
      <x:c r="G341" s="58" t="n">
        <x:f>E340</x:f>
        <x:v>0</x:v>
      </x:c>
      <x:c r="H341" s="58" t="n">
        <x:f>AVERAGE(E337:E340)</x:f>
        <x:v>4.25</x:v>
      </x:c>
      <x:c r="I341" s="58" t="n">
        <x:f>AVERAGE(E333:E340)</x:f>
        <x:v>3.75</x:v>
      </x:c>
      <x:c r="J341" s="58" t="str">
        <x:f>IF(G341="","",ABS(E341-G341))</x:f>
      </x:c>
      <x:c r="K341" s="58" t="n">
        <x:f>IF(H341="","",ABS(E341-H341))</x:f>
        <x:v>4.25</x:v>
      </x:c>
      <x:c r="L341" s="58" t="n">
        <x:f>IF(I341="","",ABS(E341-I341))</x:f>
        <x:v>3.75</x:v>
      </x:c>
      <x:c r="M341" s="23" t="str">
        <x:f>IF(B341&gt;44,"Validation","Training")</x:f>
        <x:v>Training</x:v>
      </x:c>
      <x:c r="N341" s="61" t="str">
        <x:f>IF(OR(H341="",E341=0),"",K341/E341)</x:f>
      </x:c>
    </x:row>
    <x:row r="342">
      <x:c r="A342" s="28" t="n">
        <x:v>40693</x:v>
      </x:c>
      <x:c r="B342" s="23" t="n">
        <x:v>26</x:v>
      </x:c>
      <x:c r="C342" s="23" t="str">
        <x:v>22086</x:v>
      </x:c>
      <x:c r="D342" s="23" t="str">
        <x:v>PAPER CHAIN KIT 50'S CHRISTMAS</x:v>
      </x:c>
      <x:c r="E342" s="34" t="n">
        <x:v>0</x:v>
      </x:c>
      <x:c r="F342" s="55" t="n">
        <x:v>0</x:v>
      </x:c>
      <x:c r="G342" s="58" t="n">
        <x:f>E341</x:f>
        <x:v>0</x:v>
      </x:c>
      <x:c r="H342" s="58" t="n">
        <x:f>AVERAGE(E338:E341)</x:f>
        <x:v>4.25</x:v>
      </x:c>
      <x:c r="I342" s="58" t="n">
        <x:f>AVERAGE(E334:E341)</x:f>
        <x:v>3.375</x:v>
      </x:c>
      <x:c r="J342" s="58" t="str">
        <x:f>IF(G342="","",ABS(E342-G342))</x:f>
      </x:c>
      <x:c r="K342" s="58" t="n">
        <x:f>IF(H342="","",ABS(E342-H342))</x:f>
        <x:v>4.25</x:v>
      </x:c>
      <x:c r="L342" s="58" t="n">
        <x:f>IF(I342="","",ABS(E342-I342))</x:f>
        <x:v>3.375</x:v>
      </x:c>
      <x:c r="M342" s="23" t="str">
        <x:f>IF(B342&gt;44,"Validation","Training")</x:f>
        <x:v>Training</x:v>
      </x:c>
      <x:c r="N342" s="61" t="str">
        <x:f>IF(OR(H342="",E342=0),"",K342/E342)</x:f>
      </x:c>
    </x:row>
    <x:row r="343">
      <x:c r="A343" s="28" t="n">
        <x:v>40700</x:v>
      </x:c>
      <x:c r="B343" s="23" t="n">
        <x:v>27</x:v>
      </x:c>
      <x:c r="C343" s="23" t="str">
        <x:v>22086</x:v>
      </x:c>
      <x:c r="D343" s="23" t="str">
        <x:v>PAPER CHAIN KIT 50'S CHRISTMAS</x:v>
      </x:c>
      <x:c r="E343" s="34" t="n">
        <x:v>2</x:v>
      </x:c>
      <x:c r="F343" s="55" t="n">
        <x:v>12.42</x:v>
      </x:c>
      <x:c r="G343" s="58" t="n">
        <x:f>E342</x:f>
        <x:v>0</x:v>
      </x:c>
      <x:c r="H343" s="58" t="n">
        <x:f>AVERAGE(E339:E342)</x:f>
        <x:v>3.25</x:v>
      </x:c>
      <x:c r="I343" s="58" t="n">
        <x:f>AVERAGE(E335:E342)</x:f>
        <x:v>2.25</x:v>
      </x:c>
      <x:c r="J343" s="58" t="str">
        <x:f>IF(G343="","",ABS(E343-G343))</x:f>
      </x:c>
      <x:c r="K343" s="58" t="n">
        <x:f>IF(H343="","",ABS(E343-H343))</x:f>
        <x:v>1.25</x:v>
      </x:c>
      <x:c r="L343" s="58" t="n">
        <x:f>IF(I343="","",ABS(E343-I343))</x:f>
        <x:v>0.25</x:v>
      </x:c>
      <x:c r="M343" s="23" t="str">
        <x:f>IF(B343&gt;44,"Validation","Training")</x:f>
        <x:v>Training</x:v>
      </x:c>
      <x:c r="N343" s="61" t="n">
        <x:f>IF(OR(H343="",E343=0),"",K343/E343)</x:f>
        <x:v>0.625</x:v>
      </x:c>
    </x:row>
    <x:row r="344">
      <x:c r="A344" s="28" t="n">
        <x:v>40707</x:v>
      </x:c>
      <x:c r="B344" s="23" t="n">
        <x:v>28</x:v>
      </x:c>
      <x:c r="C344" s="23" t="str">
        <x:v>22086</x:v>
      </x:c>
      <x:c r="D344" s="23" t="str">
        <x:v>PAPER CHAIN KIT 50'S CHRISTMAS</x:v>
      </x:c>
      <x:c r="E344" s="34" t="n">
        <x:v>1</x:v>
      </x:c>
      <x:c r="F344" s="55" t="n">
        <x:v>5.79</x:v>
      </x:c>
      <x:c r="G344" s="58" t="n">
        <x:f>E343</x:f>
        <x:v>2</x:v>
      </x:c>
      <x:c r="H344" s="58" t="n">
        <x:f>AVERAGE(E340:E343)</x:f>
        <x:v>0.5</x:v>
      </x:c>
      <x:c r="I344" s="58" t="n">
        <x:f>AVERAGE(E336:E343)</x:f>
        <x:v>2.5</x:v>
      </x:c>
      <x:c r="J344" s="58" t="n">
        <x:f>IF(G344="","",ABS(E344-G344))</x:f>
        <x:v>1</x:v>
      </x:c>
      <x:c r="K344" s="58" t="n">
        <x:f>IF(H344="","",ABS(E344-H344))</x:f>
        <x:v>0.5</x:v>
      </x:c>
      <x:c r="L344" s="58" t="n">
        <x:f>IF(I344="","",ABS(E344-I344))</x:f>
        <x:v>1.5</x:v>
      </x:c>
      <x:c r="M344" s="23" t="str">
        <x:f>IF(B344&gt;44,"Validation","Training")</x:f>
        <x:v>Training</x:v>
      </x:c>
      <x:c r="N344" s="61" t="n">
        <x:f>IF(OR(H344="",E344=0),"",K344/E344)</x:f>
        <x:v>0.5</x:v>
      </x:c>
    </x:row>
    <x:row r="345">
      <x:c r="A345" s="28" t="n">
        <x:v>40714</x:v>
      </x:c>
      <x:c r="B345" s="23" t="n">
        <x:v>29</x:v>
      </x:c>
      <x:c r="C345" s="23" t="str">
        <x:v>22086</x:v>
      </x:c>
      <x:c r="D345" s="23" t="str">
        <x:v>PAPER CHAIN KIT 50'S CHRISTMAS</x:v>
      </x:c>
      <x:c r="E345" s="34" t="n">
        <x:v>6</x:v>
      </x:c>
      <x:c r="F345" s="55" t="n">
        <x:v>17.7</x:v>
      </x:c>
      <x:c r="G345" s="58" t="n">
        <x:f>E344</x:f>
        <x:v>1</x:v>
      </x:c>
      <x:c r="H345" s="58" t="n">
        <x:f>AVERAGE(E341:E344)</x:f>
        <x:v>0.75</x:v>
      </x:c>
      <x:c r="I345" s="58" t="n">
        <x:f>AVERAGE(E337:E344)</x:f>
        <x:v>2.5</x:v>
      </x:c>
      <x:c r="J345" s="58" t="n">
        <x:f>IF(G345="","",ABS(E345-G345))</x:f>
        <x:v>5</x:v>
      </x:c>
      <x:c r="K345" s="58" t="n">
        <x:f>IF(H345="","",ABS(E345-H345))</x:f>
        <x:v>5.25</x:v>
      </x:c>
      <x:c r="L345" s="58" t="n">
        <x:f>IF(I345="","",ABS(E345-I345))</x:f>
        <x:v>3.5</x:v>
      </x:c>
      <x:c r="M345" s="23" t="str">
        <x:f>IF(B345&gt;44,"Validation","Training")</x:f>
        <x:v>Training</x:v>
      </x:c>
      <x:c r="N345" s="61" t="n">
        <x:f>IF(OR(H345="",E345=0),"",K345/E345)</x:f>
        <x:v>0.875</x:v>
      </x:c>
    </x:row>
    <x:row r="346">
      <x:c r="A346" s="28" t="n">
        <x:v>40721</x:v>
      </x:c>
      <x:c r="B346" s="23" t="n">
        <x:v>30</x:v>
      </x:c>
      <x:c r="C346" s="23" t="str">
        <x:v>22086</x:v>
      </x:c>
      <x:c r="D346" s="23" t="str">
        <x:v>PAPER CHAIN KIT 50'S CHRISTMAS</x:v>
      </x:c>
      <x:c r="E346" s="34" t="n">
        <x:v>365</x:v>
      </x:c>
      <x:c r="F346" s="55" t="n">
        <x:v>963.47</x:v>
      </x:c>
      <x:c r="G346" s="58" t="n">
        <x:f>E345</x:f>
        <x:v>6</x:v>
      </x:c>
      <x:c r="H346" s="58" t="n">
        <x:f>AVERAGE(E342:E345)</x:f>
        <x:v>2.25</x:v>
      </x:c>
      <x:c r="I346" s="58" t="n">
        <x:f>AVERAGE(E338:E345)</x:f>
        <x:v>3.25</x:v>
      </x:c>
      <x:c r="J346" s="58" t="n">
        <x:f>IF(G346="","",ABS(E346-G346))</x:f>
        <x:v>359</x:v>
      </x:c>
      <x:c r="K346" s="58" t="n">
        <x:f>IF(H346="","",ABS(E346-H346))</x:f>
        <x:v>362.75</x:v>
      </x:c>
      <x:c r="L346" s="58" t="n">
        <x:f>IF(I346="","",ABS(E346-I346))</x:f>
        <x:v>361.75</x:v>
      </x:c>
      <x:c r="M346" s="23" t="str">
        <x:f>IF(B346&gt;44,"Validation","Training")</x:f>
        <x:v>Training</x:v>
      </x:c>
      <x:c r="N346" s="61" t="n">
        <x:f>IF(OR(H346="",E346=0),"",K346/E346)</x:f>
        <x:v>0.9938356164383562</x:v>
      </x:c>
    </x:row>
    <x:row r="347">
      <x:c r="A347" s="28" t="n">
        <x:v>40728</x:v>
      </x:c>
      <x:c r="B347" s="23" t="n">
        <x:v>31</x:v>
      </x:c>
      <x:c r="C347" s="23" t="str">
        <x:v>22086</x:v>
      </x:c>
      <x:c r="D347" s="23" t="str">
        <x:v>PAPER CHAIN KIT 50'S CHRISTMAS</x:v>
      </x:c>
      <x:c r="E347" s="34" t="n">
        <x:v>18</x:v>
      </x:c>
      <x:c r="F347" s="55" t="n">
        <x:v>53.1</x:v>
      </x:c>
      <x:c r="G347" s="58" t="n">
        <x:f>E346</x:f>
        <x:v>365</x:v>
      </x:c>
      <x:c r="H347" s="58" t="n">
        <x:f>AVERAGE(E343:E346)</x:f>
        <x:v>93.5</x:v>
      </x:c>
      <x:c r="I347" s="58" t="n">
        <x:f>AVERAGE(E339:E346)</x:f>
        <x:v>48.375</x:v>
      </x:c>
      <x:c r="J347" s="58" t="n">
        <x:f>IF(G347="","",ABS(E347-G347))</x:f>
        <x:v>347</x:v>
      </x:c>
      <x:c r="K347" s="58" t="n">
        <x:f>IF(H347="","",ABS(E347-H347))</x:f>
        <x:v>75.5</x:v>
      </x:c>
      <x:c r="L347" s="58" t="n">
        <x:f>IF(I347="","",ABS(E347-I347))</x:f>
        <x:v>30.375</x:v>
      </x:c>
      <x:c r="M347" s="23" t="str">
        <x:f>IF(B347&gt;44,"Validation","Training")</x:f>
        <x:v>Training</x:v>
      </x:c>
      <x:c r="N347" s="61" t="n">
        <x:f>IF(OR(H347="",E347=0),"",K347/E347)</x:f>
        <x:v>4.194444444444445</x:v>
      </x:c>
    </x:row>
    <x:row r="348">
      <x:c r="A348" s="28" t="n">
        <x:v>40735</x:v>
      </x:c>
      <x:c r="B348" s="23" t="n">
        <x:v>32</x:v>
      </x:c>
      <x:c r="C348" s="23" t="str">
        <x:v>22086</x:v>
      </x:c>
      <x:c r="D348" s="23" t="str">
        <x:v>PAPER CHAIN KIT 50'S CHRISTMAS</x:v>
      </x:c>
      <x:c r="E348" s="34" t="n">
        <x:v>16</x:v>
      </x:c>
      <x:c r="F348" s="55" t="n">
        <x:v>55.72</x:v>
      </x:c>
      <x:c r="G348" s="58" t="n">
        <x:f>E347</x:f>
        <x:v>18</x:v>
      </x:c>
      <x:c r="H348" s="58" t="n">
        <x:f>AVERAGE(E344:E347)</x:f>
        <x:v>97.5</x:v>
      </x:c>
      <x:c r="I348" s="58" t="n">
        <x:f>AVERAGE(E340:E347)</x:f>
        <x:v>49</x:v>
      </x:c>
      <x:c r="J348" s="58" t="n">
        <x:f>IF(G348="","",ABS(E348-G348))</x:f>
        <x:v>2</x:v>
      </x:c>
      <x:c r="K348" s="58" t="n">
        <x:f>IF(H348="","",ABS(E348-H348))</x:f>
        <x:v>81.5</x:v>
      </x:c>
      <x:c r="L348" s="58" t="n">
        <x:f>IF(I348="","",ABS(E348-I348))</x:f>
        <x:v>33</x:v>
      </x:c>
      <x:c r="M348" s="23" t="str">
        <x:f>IF(B348&gt;44,"Validation","Training")</x:f>
        <x:v>Training</x:v>
      </x:c>
      <x:c r="N348" s="61" t="n">
        <x:f>IF(OR(H348="",E348=0),"",K348/E348)</x:f>
        <x:v>5.09375</x:v>
      </x:c>
    </x:row>
    <x:row r="349">
      <x:c r="A349" s="28" t="n">
        <x:v>40742</x:v>
      </x:c>
      <x:c r="B349" s="23" t="n">
        <x:v>33</x:v>
      </x:c>
      <x:c r="C349" s="23" t="str">
        <x:v>22086</x:v>
      </x:c>
      <x:c r="D349" s="23" t="str">
        <x:v>PAPER CHAIN KIT 50'S CHRISTMAS</x:v>
      </x:c>
      <x:c r="E349" s="34" t="n">
        <x:v>32</x:v>
      </x:c>
      <x:c r="F349" s="55" t="n">
        <x:v>111.12</x:v>
      </x:c>
      <x:c r="G349" s="58" t="n">
        <x:f>E348</x:f>
        <x:v>16</x:v>
      </x:c>
      <x:c r="H349" s="58" t="n">
        <x:f>AVERAGE(E345:E348)</x:f>
        <x:v>101.25</x:v>
      </x:c>
      <x:c r="I349" s="58" t="n">
        <x:f>AVERAGE(E341:E348)</x:f>
        <x:v>51</x:v>
      </x:c>
      <x:c r="J349" s="58" t="n">
        <x:f>IF(G349="","",ABS(E349-G349))</x:f>
        <x:v>16</x:v>
      </x:c>
      <x:c r="K349" s="58" t="n">
        <x:f>IF(H349="","",ABS(E349-H349))</x:f>
        <x:v>69.25</x:v>
      </x:c>
      <x:c r="L349" s="58" t="n">
        <x:f>IF(I349="","",ABS(E349-I349))</x:f>
        <x:v>19</x:v>
      </x:c>
      <x:c r="M349" s="23" t="str">
        <x:f>IF(B349&gt;44,"Validation","Training")</x:f>
        <x:v>Training</x:v>
      </x:c>
      <x:c r="N349" s="61" t="n">
        <x:f>IF(OR(H349="",E349=0),"",K349/E349)</x:f>
        <x:v>2.1640625</x:v>
      </x:c>
    </x:row>
    <x:row r="350">
      <x:c r="A350" s="28" t="n">
        <x:v>40749</x:v>
      </x:c>
      <x:c r="B350" s="23" t="n">
        <x:v>34</x:v>
      </x:c>
      <x:c r="C350" s="23" t="str">
        <x:v>22086</x:v>
      </x:c>
      <x:c r="D350" s="23" t="str">
        <x:v>PAPER CHAIN KIT 50'S CHRISTMAS</x:v>
      </x:c>
      <x:c r="E350" s="34" t="n">
        <x:v>287</x:v>
      </x:c>
      <x:c r="F350" s="55" t="n">
        <x:v>769.49</x:v>
      </x:c>
      <x:c r="G350" s="58" t="n">
        <x:f>E349</x:f>
        <x:v>32</x:v>
      </x:c>
      <x:c r="H350" s="58" t="n">
        <x:f>AVERAGE(E346:E349)</x:f>
        <x:v>107.75</x:v>
      </x:c>
      <x:c r="I350" s="58" t="n">
        <x:f>AVERAGE(E342:E349)</x:f>
        <x:v>55</x:v>
      </x:c>
      <x:c r="J350" s="58" t="n">
        <x:f>IF(G350="","",ABS(E350-G350))</x:f>
        <x:v>255</x:v>
      </x:c>
      <x:c r="K350" s="58" t="n">
        <x:f>IF(H350="","",ABS(E350-H350))</x:f>
        <x:v>179.25</x:v>
      </x:c>
      <x:c r="L350" s="58" t="n">
        <x:f>IF(I350="","",ABS(E350-I350))</x:f>
        <x:v>232</x:v>
      </x:c>
      <x:c r="M350" s="23" t="str">
        <x:f>IF(B350&gt;44,"Validation","Training")</x:f>
        <x:v>Training</x:v>
      </x:c>
      <x:c r="N350" s="61" t="n">
        <x:f>IF(OR(H350="",E350=0),"",K350/E350)</x:f>
        <x:v>0.6245644599303136</x:v>
      </x:c>
    </x:row>
    <x:row r="351">
      <x:c r="A351" s="28" t="n">
        <x:v>40756</x:v>
      </x:c>
      <x:c r="B351" s="23" t="n">
        <x:v>35</x:v>
      </x:c>
      <x:c r="C351" s="23" t="str">
        <x:v>22086</x:v>
      </x:c>
      <x:c r="D351" s="23" t="str">
        <x:v>PAPER CHAIN KIT 50'S CHRISTMAS</x:v>
      </x:c>
      <x:c r="E351" s="34" t="n">
        <x:v>281</x:v>
      </x:c>
      <x:c r="F351" s="55" t="n">
        <x:v>735.79</x:v>
      </x:c>
      <x:c r="G351" s="58" t="n">
        <x:f>E350</x:f>
        <x:v>287</x:v>
      </x:c>
      <x:c r="H351" s="58" t="n">
        <x:f>AVERAGE(E347:E350)</x:f>
        <x:v>88.25</x:v>
      </x:c>
      <x:c r="I351" s="58" t="n">
        <x:f>AVERAGE(E343:E350)</x:f>
        <x:v>90.875</x:v>
      </x:c>
      <x:c r="J351" s="58" t="n">
        <x:f>IF(G351="","",ABS(E351-G351))</x:f>
        <x:v>6</x:v>
      </x:c>
      <x:c r="K351" s="58" t="n">
        <x:f>IF(H351="","",ABS(E351-H351))</x:f>
        <x:v>192.75</x:v>
      </x:c>
      <x:c r="L351" s="58" t="n">
        <x:f>IF(I351="","",ABS(E351-I351))</x:f>
        <x:v>190.125</x:v>
      </x:c>
      <x:c r="M351" s="23" t="str">
        <x:f>IF(B351&gt;44,"Validation","Training")</x:f>
        <x:v>Training</x:v>
      </x:c>
      <x:c r="N351" s="61" t="n">
        <x:f>IF(OR(H351="",E351=0),"",K351/E351)</x:f>
        <x:v>0.6859430604982206</x:v>
      </x:c>
    </x:row>
    <x:row r="352">
      <x:c r="A352" s="28" t="n">
        <x:v>40763</x:v>
      </x:c>
      <x:c r="B352" s="23" t="n">
        <x:v>36</x:v>
      </x:c>
      <x:c r="C352" s="23" t="str">
        <x:v>22086</x:v>
      </x:c>
      <x:c r="D352" s="23" t="str">
        <x:v>PAPER CHAIN KIT 50'S CHRISTMAS</x:v>
      </x:c>
      <x:c r="E352" s="34" t="n">
        <x:v>22</x:v>
      </x:c>
      <x:c r="F352" s="55" t="n">
        <x:v>68.58</x:v>
      </x:c>
      <x:c r="G352" s="58" t="n">
        <x:f>E351</x:f>
        <x:v>281</x:v>
      </x:c>
      <x:c r="H352" s="58" t="n">
        <x:f>AVERAGE(E348:E351)</x:f>
        <x:v>154</x:v>
      </x:c>
      <x:c r="I352" s="58" t="n">
        <x:f>AVERAGE(E344:E351)</x:f>
        <x:v>125.75</x:v>
      </x:c>
      <x:c r="J352" s="58" t="n">
        <x:f>IF(G352="","",ABS(E352-G352))</x:f>
        <x:v>259</x:v>
      </x:c>
      <x:c r="K352" s="58" t="n">
        <x:f>IF(H352="","",ABS(E352-H352))</x:f>
        <x:v>132</x:v>
      </x:c>
      <x:c r="L352" s="58" t="n">
        <x:f>IF(I352="","",ABS(E352-I352))</x:f>
        <x:v>103.75</x:v>
      </x:c>
      <x:c r="M352" s="23" t="str">
        <x:f>IF(B352&gt;44,"Validation","Training")</x:f>
        <x:v>Training</x:v>
      </x:c>
      <x:c r="N352" s="61" t="n">
        <x:f>IF(OR(H352="",E352=0),"",K352/E352)</x:f>
        <x:v>6</x:v>
      </x:c>
    </x:row>
    <x:row r="353">
      <x:c r="A353" s="28" t="n">
        <x:v>40770</x:v>
      </x:c>
      <x:c r="B353" s="23" t="n">
        <x:v>37</x:v>
      </x:c>
      <x:c r="C353" s="23" t="str">
        <x:v>22086</x:v>
      </x:c>
      <x:c r="D353" s="23" t="str">
        <x:v>PAPER CHAIN KIT 50'S CHRISTMAS</x:v>
      </x:c>
      <x:c r="E353" s="34" t="n">
        <x:v>36</x:v>
      </x:c>
      <x:c r="F353" s="55" t="n">
        <x:v>120.92</x:v>
      </x:c>
      <x:c r="G353" s="58" t="n">
        <x:f>E352</x:f>
        <x:v>22</x:v>
      </x:c>
      <x:c r="H353" s="58" t="n">
        <x:f>AVERAGE(E349:E352)</x:f>
        <x:v>155.5</x:v>
      </x:c>
      <x:c r="I353" s="58" t="n">
        <x:f>AVERAGE(E345:E352)</x:f>
        <x:v>128.375</x:v>
      </x:c>
      <x:c r="J353" s="58" t="n">
        <x:f>IF(G353="","",ABS(E353-G353))</x:f>
        <x:v>14</x:v>
      </x:c>
      <x:c r="K353" s="58" t="n">
        <x:f>IF(H353="","",ABS(E353-H353))</x:f>
        <x:v>119.5</x:v>
      </x:c>
      <x:c r="L353" s="58" t="n">
        <x:f>IF(I353="","",ABS(E353-I353))</x:f>
        <x:v>92.375</x:v>
      </x:c>
      <x:c r="M353" s="23" t="str">
        <x:f>IF(B353&gt;44,"Validation","Training")</x:f>
        <x:v>Training</x:v>
      </x:c>
      <x:c r="N353" s="61" t="n">
        <x:f>IF(OR(H353="",E353=0),"",K353/E353)</x:f>
        <x:v>3.3194444444444446</x:v>
      </x:c>
    </x:row>
    <x:row r="354">
      <x:c r="A354" s="28" t="n">
        <x:v>40777</x:v>
      </x:c>
      <x:c r="B354" s="23" t="n">
        <x:v>38</x:v>
      </x:c>
      <x:c r="C354" s="23" t="str">
        <x:v>22086</x:v>
      </x:c>
      <x:c r="D354" s="23" t="str">
        <x:v>PAPER CHAIN KIT 50'S CHRISTMAS</x:v>
      </x:c>
      <x:c r="E354" s="34" t="n">
        <x:v>28</x:v>
      </x:c>
      <x:c r="F354" s="55" t="n">
        <x:v>86.28</x:v>
      </x:c>
      <x:c r="G354" s="58" t="n">
        <x:f>E353</x:f>
        <x:v>36</x:v>
      </x:c>
      <x:c r="H354" s="58" t="n">
        <x:f>AVERAGE(E350:E353)</x:f>
        <x:v>156.5</x:v>
      </x:c>
      <x:c r="I354" s="58" t="n">
        <x:f>AVERAGE(E346:E353)</x:f>
        <x:v>132.125</x:v>
      </x:c>
      <x:c r="J354" s="58" t="n">
        <x:f>IF(G354="","",ABS(E354-G354))</x:f>
        <x:v>8</x:v>
      </x:c>
      <x:c r="K354" s="58" t="n">
        <x:f>IF(H354="","",ABS(E354-H354))</x:f>
        <x:v>128.5</x:v>
      </x:c>
      <x:c r="L354" s="58" t="n">
        <x:f>IF(I354="","",ABS(E354-I354))</x:f>
        <x:v>104.125</x:v>
      </x:c>
      <x:c r="M354" s="23" t="str">
        <x:f>IF(B354&gt;44,"Validation","Training")</x:f>
        <x:v>Training</x:v>
      </x:c>
      <x:c r="N354" s="61" t="n">
        <x:f>IF(OR(H354="",E354=0),"",K354/E354)</x:f>
        <x:v>4.589285714285714</x:v>
      </x:c>
    </x:row>
    <x:row r="355">
      <x:c r="A355" s="28" t="n">
        <x:v>40784</x:v>
      </x:c>
      <x:c r="B355" s="23" t="n">
        <x:v>39</x:v>
      </x:c>
      <x:c r="C355" s="23" t="str">
        <x:v>22086</x:v>
      </x:c>
      <x:c r="D355" s="23" t="str">
        <x:v>PAPER CHAIN KIT 50'S CHRISTMAS</x:v>
      </x:c>
      <x:c r="E355" s="34" t="n">
        <x:v>192</x:v>
      </x:c>
      <x:c r="F355" s="55" t="n">
        <x:v>520.28</x:v>
      </x:c>
      <x:c r="G355" s="58" t="n">
        <x:f>E354</x:f>
        <x:v>28</x:v>
      </x:c>
      <x:c r="H355" s="58" t="n">
        <x:f>AVERAGE(E351:E354)</x:f>
        <x:v>91.75</x:v>
      </x:c>
      <x:c r="I355" s="58" t="n">
        <x:f>AVERAGE(E347:E354)</x:f>
        <x:v>90</x:v>
      </x:c>
      <x:c r="J355" s="58" t="n">
        <x:f>IF(G355="","",ABS(E355-G355))</x:f>
        <x:v>164</x:v>
      </x:c>
      <x:c r="K355" s="58" t="n">
        <x:f>IF(H355="","",ABS(E355-H355))</x:f>
        <x:v>100.25</x:v>
      </x:c>
      <x:c r="L355" s="58" t="n">
        <x:f>IF(I355="","",ABS(E355-I355))</x:f>
        <x:v>102</x:v>
      </x:c>
      <x:c r="M355" s="23" t="str">
        <x:f>IF(B355&gt;44,"Validation","Training")</x:f>
        <x:v>Training</x:v>
      </x:c>
      <x:c r="N355" s="61" t="n">
        <x:f>IF(OR(H355="",E355=0),"",K355/E355)</x:f>
        <x:v>0.5221354166666666</x:v>
      </x:c>
    </x:row>
    <x:row r="356">
      <x:c r="A356" s="28" t="n">
        <x:v>40791</x:v>
      </x:c>
      <x:c r="B356" s="23" t="n">
        <x:v>40</x:v>
      </x:c>
      <x:c r="C356" s="23" t="str">
        <x:v>22086</x:v>
      </x:c>
      <x:c r="D356" s="23" t="str">
        <x:v>PAPER CHAIN KIT 50'S CHRISTMAS</x:v>
      </x:c>
      <x:c r="E356" s="34" t="n">
        <x:v>495</x:v>
      </x:c>
      <x:c r="F356" s="55" t="n">
        <x:v>1347.29</x:v>
      </x:c>
      <x:c r="G356" s="58" t="n">
        <x:f>E355</x:f>
        <x:v>192</x:v>
      </x:c>
      <x:c r="H356" s="58" t="n">
        <x:f>AVERAGE(E352:E355)</x:f>
        <x:v>69.5</x:v>
      </x:c>
      <x:c r="I356" s="58" t="n">
        <x:f>AVERAGE(E348:E355)</x:f>
        <x:v>111.75</x:v>
      </x:c>
      <x:c r="J356" s="58" t="n">
        <x:f>IF(G356="","",ABS(E356-G356))</x:f>
        <x:v>303</x:v>
      </x:c>
      <x:c r="K356" s="58" t="n">
        <x:f>IF(H356="","",ABS(E356-H356))</x:f>
        <x:v>425.5</x:v>
      </x:c>
      <x:c r="L356" s="58" t="n">
        <x:f>IF(I356="","",ABS(E356-I356))</x:f>
        <x:v>383.25</x:v>
      </x:c>
      <x:c r="M356" s="23" t="str">
        <x:f>IF(B356&gt;44,"Validation","Training")</x:f>
        <x:v>Training</x:v>
      </x:c>
      <x:c r="N356" s="61" t="n">
        <x:f>IF(OR(H356="",E356=0),"",K356/E356)</x:f>
        <x:v>0.8595959595959596</x:v>
      </x:c>
    </x:row>
    <x:row r="357">
      <x:c r="A357" s="28" t="n">
        <x:v>40798</x:v>
      </x:c>
      <x:c r="B357" s="23" t="n">
        <x:v>41</x:v>
      </x:c>
      <x:c r="C357" s="23" t="str">
        <x:v>22086</x:v>
      </x:c>
      <x:c r="D357" s="23" t="str">
        <x:v>PAPER CHAIN KIT 50'S CHRISTMAS</x:v>
      </x:c>
      <x:c r="E357" s="34" t="n">
        <x:v>601</x:v>
      </x:c>
      <x:c r="F357" s="55" t="n">
        <x:v>1717.63</x:v>
      </x:c>
      <x:c r="G357" s="58" t="n">
        <x:f>E356</x:f>
        <x:v>495</x:v>
      </x:c>
      <x:c r="H357" s="58" t="n">
        <x:f>AVERAGE(E353:E356)</x:f>
        <x:v>187.75</x:v>
      </x:c>
      <x:c r="I357" s="58" t="n">
        <x:f>AVERAGE(E349:E356)</x:f>
        <x:v>171.625</x:v>
      </x:c>
      <x:c r="J357" s="58" t="n">
        <x:f>IF(G357="","",ABS(E357-G357))</x:f>
        <x:v>106</x:v>
      </x:c>
      <x:c r="K357" s="58" t="n">
        <x:f>IF(H357="","",ABS(E357-H357))</x:f>
        <x:v>413.25</x:v>
      </x:c>
      <x:c r="L357" s="58" t="n">
        <x:f>IF(I357="","",ABS(E357-I357))</x:f>
        <x:v>429.375</x:v>
      </x:c>
      <x:c r="M357" s="23" t="str">
        <x:f>IF(B357&gt;44,"Validation","Training")</x:f>
        <x:v>Training</x:v>
      </x:c>
      <x:c r="N357" s="61" t="n">
        <x:f>IF(OR(H357="",E357=0),"",K357/E357)</x:f>
        <x:v>0.687603993344426</x:v>
      </x:c>
    </x:row>
    <x:row r="358">
      <x:c r="A358" s="28" t="n">
        <x:v>40805</x:v>
      </x:c>
      <x:c r="B358" s="23" t="n">
        <x:v>42</x:v>
      </x:c>
      <x:c r="C358" s="23" t="str">
        <x:v>22086</x:v>
      </x:c>
      <x:c r="D358" s="23" t="str">
        <x:v>PAPER CHAIN KIT 50'S CHRISTMAS</x:v>
      </x:c>
      <x:c r="E358" s="34" t="n">
        <x:v>602</x:v>
      </x:c>
      <x:c r="F358" s="55" t="n">
        <x:v>1755.74</x:v>
      </x:c>
      <x:c r="G358" s="58" t="n">
        <x:f>E357</x:f>
        <x:v>601</x:v>
      </x:c>
      <x:c r="H358" s="58" t="n">
        <x:f>AVERAGE(E354:E357)</x:f>
        <x:v>329</x:v>
      </x:c>
      <x:c r="I358" s="58" t="n">
        <x:f>AVERAGE(E350:E357)</x:f>
        <x:v>242.75</x:v>
      </x:c>
      <x:c r="J358" s="58" t="n">
        <x:f>IF(G358="","",ABS(E358-G358))</x:f>
        <x:v>1</x:v>
      </x:c>
      <x:c r="K358" s="58" t="n">
        <x:f>IF(H358="","",ABS(E358-H358))</x:f>
        <x:v>273</x:v>
      </x:c>
      <x:c r="L358" s="58" t="n">
        <x:f>IF(I358="","",ABS(E358-I358))</x:f>
        <x:v>359.25</x:v>
      </x:c>
      <x:c r="M358" s="23" t="str">
        <x:f>IF(B358&gt;44,"Validation","Training")</x:f>
        <x:v>Training</x:v>
      </x:c>
      <x:c r="N358" s="61" t="n">
        <x:f>IF(OR(H358="",E358=0),"",K358/E358)</x:f>
        <x:v>0.45348837209302323</x:v>
      </x:c>
    </x:row>
    <x:row r="359">
      <x:c r="A359" s="28" t="n">
        <x:v>40812</x:v>
      </x:c>
      <x:c r="B359" s="23" t="n">
        <x:v>43</x:v>
      </x:c>
      <x:c r="C359" s="23" t="str">
        <x:v>22086</x:v>
      </x:c>
      <x:c r="D359" s="23" t="str">
        <x:v>PAPER CHAIN KIT 50'S CHRISTMAS</x:v>
      </x:c>
      <x:c r="E359" s="34" t="n">
        <x:v>359</x:v>
      </x:c>
      <x:c r="F359" s="55" t="n">
        <x:v>1047.53</x:v>
      </x:c>
      <x:c r="G359" s="58" t="n">
        <x:f>E358</x:f>
        <x:v>602</x:v>
      </x:c>
      <x:c r="H359" s="58" t="n">
        <x:f>AVERAGE(E355:E358)</x:f>
        <x:v>472.5</x:v>
      </x:c>
      <x:c r="I359" s="58" t="n">
        <x:f>AVERAGE(E351:E358)</x:f>
        <x:v>282.125</x:v>
      </x:c>
      <x:c r="J359" s="58" t="n">
        <x:f>IF(G359="","",ABS(E359-G359))</x:f>
        <x:v>243</x:v>
      </x:c>
      <x:c r="K359" s="58" t="n">
        <x:f>IF(H359="","",ABS(E359-H359))</x:f>
        <x:v>113.5</x:v>
      </x:c>
      <x:c r="L359" s="58" t="n">
        <x:f>IF(I359="","",ABS(E359-I359))</x:f>
        <x:v>76.875</x:v>
      </x:c>
      <x:c r="M359" s="23" t="str">
        <x:f>IF(B359&gt;44,"Validation","Training")</x:f>
        <x:v>Training</x:v>
      </x:c>
      <x:c r="N359" s="61" t="n">
        <x:f>IF(OR(H359="",E359=0),"",K359/E359)</x:f>
        <x:v>0.3161559888579387</x:v>
      </x:c>
    </x:row>
    <x:row r="360">
      <x:c r="A360" s="28" t="n">
        <x:v>40819</x:v>
      </x:c>
      <x:c r="B360" s="23" t="n">
        <x:v>44</x:v>
      </x:c>
      <x:c r="C360" s="23" t="str">
        <x:v>22086</x:v>
      </x:c>
      <x:c r="D360" s="23" t="str">
        <x:v>PAPER CHAIN KIT 50'S CHRISTMAS</x:v>
      </x:c>
      <x:c r="E360" s="34" t="n">
        <x:v>977</x:v>
      </x:c>
      <x:c r="F360" s="55" t="n">
        <x:v>2708.63</x:v>
      </x:c>
      <x:c r="G360" s="58" t="n">
        <x:f>E359</x:f>
        <x:v>359</x:v>
      </x:c>
      <x:c r="H360" s="58" t="n">
        <x:f>AVERAGE(E356:E359)</x:f>
        <x:v>514.25</x:v>
      </x:c>
      <x:c r="I360" s="58" t="n">
        <x:f>AVERAGE(E352:E359)</x:f>
        <x:v>291.875</x:v>
      </x:c>
      <x:c r="J360" s="58" t="n">
        <x:f>IF(G360="","",ABS(E360-G360))</x:f>
        <x:v>618</x:v>
      </x:c>
      <x:c r="K360" s="58" t="n">
        <x:f>IF(H360="","",ABS(E360-H360))</x:f>
        <x:v>462.75</x:v>
      </x:c>
      <x:c r="L360" s="58" t="n">
        <x:f>IF(I360="","",ABS(E360-I360))</x:f>
        <x:v>685.125</x:v>
      </x:c>
      <x:c r="M360" s="23" t="str">
        <x:f>IF(B360&gt;44,"Validation","Training")</x:f>
        <x:v>Training</x:v>
      </x:c>
      <x:c r="N360" s="61" t="n">
        <x:f>IF(OR(H360="",E360=0),"",K360/E360)</x:f>
        <x:v>0.47364380757420677</x:v>
      </x:c>
    </x:row>
    <x:row r="361">
      <x:c r="A361" s="28" t="n">
        <x:v>40826</x:v>
      </x:c>
      <x:c r="B361" s="23" t="n">
        <x:v>45</x:v>
      </x:c>
      <x:c r="C361" s="23" t="str">
        <x:v>22086</x:v>
      </x:c>
      <x:c r="D361" s="23" t="str">
        <x:v>PAPER CHAIN KIT 50'S CHRISTMAS</x:v>
      </x:c>
      <x:c r="E361" s="34" t="n">
        <x:v>819</x:v>
      </x:c>
      <x:c r="F361" s="55" t="n">
        <x:v>2342.01</x:v>
      </x:c>
      <x:c r="G361" s="58" t="n">
        <x:f>E360</x:f>
        <x:v>977</x:v>
      </x:c>
      <x:c r="H361" s="58" t="n">
        <x:f>AVERAGE(E357:E360)</x:f>
        <x:v>634.75</x:v>
      </x:c>
      <x:c r="I361" s="58" t="n">
        <x:f>AVERAGE(E353:E360)</x:f>
        <x:v>411.25</x:v>
      </x:c>
      <x:c r="J361" s="58" t="n">
        <x:f>IF(G361="","",ABS(E361-G361))</x:f>
        <x:v>158</x:v>
      </x:c>
      <x:c r="K361" s="58" t="n">
        <x:f>IF(H361="","",ABS(E361-H361))</x:f>
        <x:v>184.25</x:v>
      </x:c>
      <x:c r="L361" s="58" t="n">
        <x:f>IF(I361="","",ABS(E361-I361))</x:f>
        <x:v>407.75</x:v>
      </x:c>
      <x:c r="M361" s="23" t="str">
        <x:f>IF(B361&gt;44,"Validation","Training")</x:f>
        <x:v>Validation</x:v>
      </x:c>
      <x:c r="N361" s="61" t="n">
        <x:f>IF(OR(H361="",E361=0),"",K361/E361)</x:f>
        <x:v>0.22496947496947498</x:v>
      </x:c>
    </x:row>
    <x:row r="362">
      <x:c r="A362" s="28" t="n">
        <x:v>40833</x:v>
      </x:c>
      <x:c r="B362" s="23" t="n">
        <x:v>46</x:v>
      </x:c>
      <x:c r="C362" s="23" t="str">
        <x:v>22086</x:v>
      </x:c>
      <x:c r="D362" s="23" t="str">
        <x:v>PAPER CHAIN KIT 50'S CHRISTMAS</x:v>
      </x:c>
      <x:c r="E362" s="34" t="n">
        <x:v>756</x:v>
      </x:c>
      <x:c r="F362" s="55" t="n">
        <x:v>2222.96</x:v>
      </x:c>
      <x:c r="G362" s="58" t="n">
        <x:f>E361</x:f>
        <x:v>819</x:v>
      </x:c>
      <x:c r="H362" s="58" t="n">
        <x:f>AVERAGE(E358:E361)</x:f>
        <x:v>689.25</x:v>
      </x:c>
      <x:c r="I362" s="58" t="n">
        <x:f>AVERAGE(E354:E361)</x:f>
        <x:v>509.125</x:v>
      </x:c>
      <x:c r="J362" s="58" t="n">
        <x:f>IF(G362="","",ABS(E362-G362))</x:f>
        <x:v>63</x:v>
      </x:c>
      <x:c r="K362" s="58" t="n">
        <x:f>IF(H362="","",ABS(E362-H362))</x:f>
        <x:v>66.75</x:v>
      </x:c>
      <x:c r="L362" s="58" t="n">
        <x:f>IF(I362="","",ABS(E362-I362))</x:f>
        <x:v>246.875</x:v>
      </x:c>
      <x:c r="M362" s="23" t="str">
        <x:f>IF(B362&gt;44,"Validation","Training")</x:f>
        <x:v>Validation</x:v>
      </x:c>
      <x:c r="N362" s="61" t="n">
        <x:f>IF(OR(H362="",E362=0),"",K362/E362)</x:f>
        <x:v>0.0882936507936508</x:v>
      </x:c>
    </x:row>
    <x:row r="363">
      <x:c r="A363" s="28" t="n">
        <x:v>40840</x:v>
      </x:c>
      <x:c r="B363" s="23" t="n">
        <x:v>47</x:v>
      </x:c>
      <x:c r="C363" s="23" t="str">
        <x:v>22086</x:v>
      </x:c>
      <x:c r="D363" s="23" t="str">
        <x:v>PAPER CHAIN KIT 50'S CHRISTMAS</x:v>
      </x:c>
      <x:c r="E363" s="34" t="n">
        <x:v>764</x:v>
      </x:c>
      <x:c r="F363" s="55" t="n">
        <x:v>2264.16</x:v>
      </x:c>
      <x:c r="G363" s="58" t="n">
        <x:f>E362</x:f>
        <x:v>756</x:v>
      </x:c>
      <x:c r="H363" s="58" t="n">
        <x:f>AVERAGE(E359:E362)</x:f>
        <x:v>727.75</x:v>
      </x:c>
      <x:c r="I363" s="58" t="n">
        <x:f>AVERAGE(E355:E362)</x:f>
        <x:v>600.125</x:v>
      </x:c>
      <x:c r="J363" s="58" t="n">
        <x:f>IF(G363="","",ABS(E363-G363))</x:f>
        <x:v>8</x:v>
      </x:c>
      <x:c r="K363" s="58" t="n">
        <x:f>IF(H363="","",ABS(E363-H363))</x:f>
        <x:v>36.25</x:v>
      </x:c>
      <x:c r="L363" s="58" t="n">
        <x:f>IF(I363="","",ABS(E363-I363))</x:f>
        <x:v>163.875</x:v>
      </x:c>
      <x:c r="M363" s="23" t="str">
        <x:f>IF(B363&gt;44,"Validation","Training")</x:f>
        <x:v>Validation</x:v>
      </x:c>
      <x:c r="N363" s="61" t="n">
        <x:f>IF(OR(H363="",E363=0),"",K363/E363)</x:f>
        <x:v>0.04744764397905759</x:v>
      </x:c>
    </x:row>
    <x:row r="364">
      <x:c r="A364" s="28" t="n">
        <x:v>40847</x:v>
      </x:c>
      <x:c r="B364" s="23" t="n">
        <x:v>48</x:v>
      </x:c>
      <x:c r="C364" s="23" t="str">
        <x:v>22086</x:v>
      </x:c>
      <x:c r="D364" s="23" t="str">
        <x:v>PAPER CHAIN KIT 50'S CHRISTMAS</x:v>
      </x:c>
      <x:c r="E364" s="34" t="n">
        <x:v>1745</x:v>
      </x:c>
      <x:c r="F364" s="55" t="n">
        <x:v>5019.15</x:v>
      </x:c>
      <x:c r="G364" s="58" t="n">
        <x:f>E363</x:f>
        <x:v>764</x:v>
      </x:c>
      <x:c r="H364" s="58" t="n">
        <x:f>AVERAGE(E360:E363)</x:f>
        <x:v>829</x:v>
      </x:c>
      <x:c r="I364" s="58" t="n">
        <x:f>AVERAGE(E356:E363)</x:f>
        <x:v>671.625</x:v>
      </x:c>
      <x:c r="J364" s="58" t="n">
        <x:f>IF(G364="","",ABS(E364-G364))</x:f>
        <x:v>981</x:v>
      </x:c>
      <x:c r="K364" s="58" t="n">
        <x:f>IF(H364="","",ABS(E364-H364))</x:f>
        <x:v>916</x:v>
      </x:c>
      <x:c r="L364" s="58" t="n">
        <x:f>IF(I364="","",ABS(E364-I364))</x:f>
        <x:v>1073.375</x:v>
      </x:c>
      <x:c r="M364" s="23" t="str">
        <x:f>IF(B364&gt;44,"Validation","Training")</x:f>
        <x:v>Validation</x:v>
      </x:c>
      <x:c r="N364" s="61" t="n">
        <x:f>IF(OR(H364="",E364=0),"",K364/E364)</x:f>
        <x:v>0.5249283667621777</x:v>
      </x:c>
    </x:row>
    <x:row r="365">
      <x:c r="A365" s="28" t="n">
        <x:v>40854</x:v>
      </x:c>
      <x:c r="B365" s="23" t="n">
        <x:v>49</x:v>
      </x:c>
      <x:c r="C365" s="23" t="str">
        <x:v>22086</x:v>
      </x:c>
      <x:c r="D365" s="23" t="str">
        <x:v>PAPER CHAIN KIT 50'S CHRISTMAS</x:v>
      </x:c>
      <x:c r="E365" s="34" t="n">
        <x:v>1436</x:v>
      </x:c>
      <x:c r="F365" s="55" t="n">
        <x:v>6303.16</x:v>
      </x:c>
      <x:c r="G365" s="58" t="n">
        <x:f>E364</x:f>
        <x:v>1745</x:v>
      </x:c>
      <x:c r="H365" s="58" t="n">
        <x:f>AVERAGE(E361:E364)</x:f>
        <x:v>1021</x:v>
      </x:c>
      <x:c r="I365" s="58" t="n">
        <x:f>AVERAGE(E357:E364)</x:f>
        <x:v>827.875</x:v>
      </x:c>
      <x:c r="J365" s="58" t="n">
        <x:f>IF(G365="","",ABS(E365-G365))</x:f>
        <x:v>309</x:v>
      </x:c>
      <x:c r="K365" s="58" t="n">
        <x:f>IF(H365="","",ABS(E365-H365))</x:f>
        <x:v>415</x:v>
      </x:c>
      <x:c r="L365" s="58" t="n">
        <x:f>IF(I365="","",ABS(E365-I365))</x:f>
        <x:v>608.125</x:v>
      </x:c>
      <x:c r="M365" s="23" t="str">
        <x:f>IF(B365&gt;44,"Validation","Training")</x:f>
        <x:v>Validation</x:v>
      </x:c>
      <x:c r="N365" s="61" t="n">
        <x:f>IF(OR(H365="",E365=0),"",K365/E365)</x:f>
        <x:v>0.2889972144846797</x:v>
      </x:c>
    </x:row>
    <x:row r="366">
      <x:c r="A366" s="28" t="n">
        <x:v>40861</x:v>
      </x:c>
      <x:c r="B366" s="23" t="n">
        <x:v>50</x:v>
      </x:c>
      <x:c r="C366" s="23" t="str">
        <x:v>22086</x:v>
      </x:c>
      <x:c r="D366" s="23" t="str">
        <x:v>PAPER CHAIN KIT 50'S CHRISTMAS</x:v>
      </x:c>
      <x:c r="E366" s="34" t="n">
        <x:v>2161</x:v>
      </x:c>
      <x:c r="F366" s="55" t="n">
        <x:v>9485.15</x:v>
      </x:c>
      <x:c r="G366" s="58" t="n">
        <x:f>E365</x:f>
        <x:v>1436</x:v>
      </x:c>
      <x:c r="H366" s="58" t="n">
        <x:f>AVERAGE(E362:E365)</x:f>
        <x:v>1175.25</x:v>
      </x:c>
      <x:c r="I366" s="58" t="n">
        <x:f>AVERAGE(E358:E365)</x:f>
        <x:v>932.25</x:v>
      </x:c>
      <x:c r="J366" s="58" t="n">
        <x:f>IF(G366="","",ABS(E366-G366))</x:f>
        <x:v>725</x:v>
      </x:c>
      <x:c r="K366" s="58" t="n">
        <x:f>IF(H366="","",ABS(E366-H366))</x:f>
        <x:v>985.75</x:v>
      </x:c>
      <x:c r="L366" s="58" t="n">
        <x:f>IF(I366="","",ABS(E366-I366))</x:f>
        <x:v>1228.75</x:v>
      </x:c>
      <x:c r="M366" s="23" t="str">
        <x:f>IF(B366&gt;44,"Validation","Training")</x:f>
        <x:v>Validation</x:v>
      </x:c>
      <x:c r="N366" s="61" t="n">
        <x:f>IF(OR(H366="",E366=0),"",K366/E366)</x:f>
        <x:v>0.4561545580749653</x:v>
      </x:c>
    </x:row>
    <x:row r="367">
      <x:c r="A367" s="28" t="n">
        <x:v>40868</x:v>
      </x:c>
      <x:c r="B367" s="23" t="n">
        <x:v>51</x:v>
      </x:c>
      <x:c r="C367" s="23" t="str">
        <x:v>22086</x:v>
      </x:c>
      <x:c r="D367" s="23" t="str">
        <x:v>PAPER CHAIN KIT 50'S CHRISTMAS</x:v>
      </x:c>
      <x:c r="E367" s="34" t="n">
        <x:v>1692</x:v>
      </x:c>
      <x:c r="F367" s="55" t="n">
        <x:v>5701.16</x:v>
      </x:c>
      <x:c r="G367" s="58" t="n">
        <x:f>E366</x:f>
        <x:v>2161</x:v>
      </x:c>
      <x:c r="H367" s="58" t="n">
        <x:f>AVERAGE(E363:E366)</x:f>
        <x:v>1526.5</x:v>
      </x:c>
      <x:c r="I367" s="58" t="n">
        <x:f>AVERAGE(E359:E366)</x:f>
        <x:v>1127.125</x:v>
      </x:c>
      <x:c r="J367" s="58" t="n">
        <x:f>IF(G367="","",ABS(E367-G367))</x:f>
        <x:v>469</x:v>
      </x:c>
      <x:c r="K367" s="58" t="n">
        <x:f>IF(H367="","",ABS(E367-H367))</x:f>
        <x:v>165.5</x:v>
      </x:c>
      <x:c r="L367" s="58" t="n">
        <x:f>IF(I367="","",ABS(E367-I367))</x:f>
        <x:v>564.875</x:v>
      </x:c>
      <x:c r="M367" s="23" t="str">
        <x:f>IF(B367&gt;44,"Validation","Training")</x:f>
        <x:v>Validation</x:v>
      </x:c>
      <x:c r="N367" s="61" t="n">
        <x:f>IF(OR(H367="",E367=0),"",K367/E367)</x:f>
        <x:v>0.09781323877068558</x:v>
      </x:c>
    </x:row>
    <x:row r="368">
      <x:c r="A368" s="28" t="n">
        <x:v>40875</x:v>
      </x:c>
      <x:c r="B368" s="23" t="n">
        <x:v>52</x:v>
      </x:c>
      <x:c r="C368" s="23" t="str">
        <x:v>22086</x:v>
      </x:c>
      <x:c r="D368" s="23" t="str">
        <x:v>PAPER CHAIN KIT 50'S CHRISTMAS</x:v>
      </x:c>
      <x:c r="E368" s="34" t="n">
        <x:v>1564</x:v>
      </x:c>
      <x:c r="F368" s="55" t="n">
        <x:v>4612.8</x:v>
      </x:c>
      <x:c r="G368" s="58" t="n">
        <x:f>E367</x:f>
        <x:v>1692</x:v>
      </x:c>
      <x:c r="H368" s="58" t="n">
        <x:f>AVERAGE(E364:E367)</x:f>
        <x:v>1758.5</x:v>
      </x:c>
      <x:c r="I368" s="58" t="n">
        <x:f>AVERAGE(E360:E367)</x:f>
        <x:v>1293.75</x:v>
      </x:c>
      <x:c r="J368" s="58" t="n">
        <x:f>IF(G368="","",ABS(E368-G368))</x:f>
        <x:v>128</x:v>
      </x:c>
      <x:c r="K368" s="58" t="n">
        <x:f>IF(H368="","",ABS(E368-H368))</x:f>
        <x:v>194.5</x:v>
      </x:c>
      <x:c r="L368" s="58" t="n">
        <x:f>IF(I368="","",ABS(E368-I368))</x:f>
        <x:v>270.25</x:v>
      </x:c>
      <x:c r="M368" s="23" t="str">
        <x:f>IF(B368&gt;44,"Validation","Training")</x:f>
        <x:v>Validation</x:v>
      </x:c>
      <x:c r="N368" s="61" t="n">
        <x:f>IF(OR(H368="",E368=0),"",K368/E368)</x:f>
        <x:v>0.12436061381074169</x:v>
      </x:c>
    </x:row>
    <x:row r="369">
      <x:c r="A369" s="28" t="n">
        <x:v>40518</x:v>
      </x:c>
      <x:c r="B369" s="23" t="n">
        <x:v>1</x:v>
      </x:c>
      <x:c r="C369" s="23" t="str">
        <x:v>84879</x:v>
      </x:c>
      <x:c r="D369" s="23" t="str">
        <x:v>ASSORTED COLOUR BIRD ORNAMENT</x:v>
      </x:c>
      <x:c r="E369" s="34" t="n">
        <x:v>789</x:v>
      </x:c>
      <x:c r="F369" s="55" t="n">
        <x:v>1355.01</x:v>
      </x:c>
      <x:c r="G369" s="58" t="str">
        <x:f>""</x:f>
      </x:c>
      <x:c r="H369" s="58" t="str">
        <x:f>""</x:f>
      </x:c>
      <x:c r="I369" s="58" t="str">
        <x:f>""</x:f>
      </x:c>
      <x:c r="J369" s="58" t="str">
        <x:f>IF(G369="","",ABS(E369-G369))</x:f>
      </x:c>
      <x:c r="K369" s="58" t="str">
        <x:f>IF(H369="","",ABS(E369-H369))</x:f>
      </x:c>
      <x:c r="L369" s="58" t="str">
        <x:f>IF(I369="","",ABS(E369-I369))</x:f>
      </x:c>
      <x:c r="M369" s="23" t="str">
        <x:f>IF(B369&gt;44,"Validation","Training")</x:f>
        <x:v>Training</x:v>
      </x:c>
      <x:c r="N369" s="61" t="str">
        <x:f>IF(OR(H369="",E369=0),"",K369/E369)</x:f>
      </x:c>
    </x:row>
    <x:row r="370">
      <x:c r="A370" s="28" t="n">
        <x:v>40525</x:v>
      </x:c>
      <x:c r="B370" s="23" t="n">
        <x:v>2</x:v>
      </x:c>
      <x:c r="C370" s="23" t="str">
        <x:v>84879</x:v>
      </x:c>
      <x:c r="D370" s="23" t="str">
        <x:v>ASSORTED COLOUR BIRD ORNAMENT</x:v>
      </x:c>
      <x:c r="E370" s="34" t="n">
        <x:v>638</x:v>
      </x:c>
      <x:c r="F370" s="55" t="n">
        <x:v>1088.3</x:v>
      </x:c>
      <x:c r="G370" s="58" t="n">
        <x:f>E369</x:f>
        <x:v>789</x:v>
      </x:c>
      <x:c r="H370" s="58" t="str">
        <x:f>""</x:f>
      </x:c>
      <x:c r="I370" s="58" t="str">
        <x:f>""</x:f>
      </x:c>
      <x:c r="J370" s="58" t="n">
        <x:f>IF(G370="","",ABS(E370-G370))</x:f>
        <x:v>151</x:v>
      </x:c>
      <x:c r="K370" s="58" t="str">
        <x:f>IF(H370="","",ABS(E370-H370))</x:f>
      </x:c>
      <x:c r="L370" s="58" t="str">
        <x:f>IF(I370="","",ABS(E370-I370))</x:f>
      </x:c>
      <x:c r="M370" s="23" t="str">
        <x:f>IF(B370&gt;44,"Validation","Training")</x:f>
        <x:v>Training</x:v>
      </x:c>
      <x:c r="N370" s="61" t="str">
        <x:f>IF(OR(H370="",E370=0),"",K370/E370)</x:f>
      </x:c>
    </x:row>
    <x:row r="371">
      <x:c r="A371" s="28" t="n">
        <x:v>40532</x:v>
      </x:c>
      <x:c r="B371" s="23" t="n">
        <x:v>3</x:v>
      </x:c>
      <x:c r="C371" s="23" t="str">
        <x:v>84879</x:v>
      </x:c>
      <x:c r="D371" s="23" t="str">
        <x:v>ASSORTED COLOUR BIRD ORNAMENT</x:v>
      </x:c>
      <x:c r="E371" s="34" t="n">
        <x:v>40</x:v>
      </x:c>
      <x:c r="F371" s="55" t="n">
        <x:v>67.6</x:v>
      </x:c>
      <x:c r="G371" s="58" t="n">
        <x:f>E370</x:f>
        <x:v>638</x:v>
      </x:c>
      <x:c r="H371" s="58" t="str">
        <x:f>""</x:f>
      </x:c>
      <x:c r="I371" s="58" t="str">
        <x:f>""</x:f>
      </x:c>
      <x:c r="J371" s="58" t="n">
        <x:f>IF(G371="","",ABS(E371-G371))</x:f>
        <x:v>598</x:v>
      </x:c>
      <x:c r="K371" s="58" t="str">
        <x:f>IF(H371="","",ABS(E371-H371))</x:f>
      </x:c>
      <x:c r="L371" s="58" t="str">
        <x:f>IF(I371="","",ABS(E371-I371))</x:f>
      </x:c>
      <x:c r="M371" s="23" t="str">
        <x:f>IF(B371&gt;44,"Validation","Training")</x:f>
        <x:v>Training</x:v>
      </x:c>
      <x:c r="N371" s="61" t="str">
        <x:f>IF(OR(H371="",E371=0),"",K371/E371)</x:f>
      </x:c>
    </x:row>
    <x:row r="372">
      <x:c r="A372" s="28" t="n">
        <x:v>40539</x:v>
      </x:c>
      <x:c r="B372" s="23" t="n">
        <x:v>4</x:v>
      </x:c>
      <x:c r="C372" s="23" t="str">
        <x:v>84879</x:v>
      </x:c>
      <x:c r="D372" s="23" t="str">
        <x:v>ASSORTED COLOUR BIRD ORNAMENT</x:v>
      </x:c>
      <x:c r="E372" s="34" t="n">
        <x:v>0</x:v>
      </x:c>
      <x:c r="F372" s="55" t="n">
        <x:v>0</x:v>
      </x:c>
      <x:c r="G372" s="58" t="n">
        <x:f>E371</x:f>
        <x:v>40</x:v>
      </x:c>
      <x:c r="H372" s="58" t="str">
        <x:f>""</x:f>
      </x:c>
      <x:c r="I372" s="58" t="str">
        <x:f>""</x:f>
      </x:c>
      <x:c r="J372" s="58" t="n">
        <x:f>IF(G372="","",ABS(E372-G372))</x:f>
        <x:v>40</x:v>
      </x:c>
      <x:c r="K372" s="58" t="str">
        <x:f>IF(H372="","",ABS(E372-H372))</x:f>
      </x:c>
      <x:c r="L372" s="58" t="str">
        <x:f>IF(I372="","",ABS(E372-I372))</x:f>
      </x:c>
      <x:c r="M372" s="23" t="str">
        <x:f>IF(B372&gt;44,"Validation","Training")</x:f>
        <x:v>Training</x:v>
      </x:c>
      <x:c r="N372" s="61" t="str">
        <x:f>IF(OR(H372="",E372=0),"",K372/E372)</x:f>
      </x:c>
    </x:row>
    <x:row r="373">
      <x:c r="A373" s="28" t="n">
        <x:v>40546</x:v>
      </x:c>
      <x:c r="B373" s="23" t="n">
        <x:v>5</x:v>
      </x:c>
      <x:c r="C373" s="23" t="str">
        <x:v>84879</x:v>
      </x:c>
      <x:c r="D373" s="23" t="str">
        <x:v>ASSORTED COLOUR BIRD ORNAMENT</x:v>
      </x:c>
      <x:c r="E373" s="34" t="n">
        <x:v>480</x:v>
      </x:c>
      <x:c r="F373" s="55" t="n">
        <x:v>811.2</x:v>
      </x:c>
      <x:c r="G373" s="58" t="n">
        <x:f>E372</x:f>
        <x:v>0</x:v>
      </x:c>
      <x:c r="H373" s="58" t="n">
        <x:f>AVERAGE(E369:E372)</x:f>
        <x:v>366.75</x:v>
      </x:c>
      <x:c r="I373" s="58" t="str">
        <x:f>""</x:f>
      </x:c>
      <x:c r="J373" s="58" t="str">
        <x:f>IF(G373="","",ABS(E373-G373))</x:f>
      </x:c>
      <x:c r="K373" s="58" t="n">
        <x:f>IF(H373="","",ABS(E373-H373))</x:f>
        <x:v>113.25</x:v>
      </x:c>
      <x:c r="L373" s="58" t="str">
        <x:f>IF(I373="","",ABS(E373-I373))</x:f>
      </x:c>
      <x:c r="M373" s="23" t="str">
        <x:f>IF(B373&gt;44,"Validation","Training")</x:f>
        <x:v>Training</x:v>
      </x:c>
      <x:c r="N373" s="61" t="n">
        <x:f>IF(OR(H373="",E373=0),"",K373/E373)</x:f>
        <x:v>0.2359375</x:v>
      </x:c>
    </x:row>
    <x:row r="374">
      <x:c r="A374" s="28" t="n">
        <x:v>40553</x:v>
      </x:c>
      <x:c r="B374" s="23" t="n">
        <x:v>6</x:v>
      </x:c>
      <x:c r="C374" s="23" t="str">
        <x:v>84879</x:v>
      </x:c>
      <x:c r="D374" s="23" t="str">
        <x:v>ASSORTED COLOUR BIRD ORNAMENT</x:v>
      </x:c>
      <x:c r="E374" s="34" t="n">
        <x:v>442</x:v>
      </x:c>
      <x:c r="F374" s="55" t="n">
        <x:v>755.46</x:v>
      </x:c>
      <x:c r="G374" s="58" t="n">
        <x:f>E373</x:f>
        <x:v>480</x:v>
      </x:c>
      <x:c r="H374" s="58" t="n">
        <x:f>AVERAGE(E370:E373)</x:f>
        <x:v>289.5</x:v>
      </x:c>
      <x:c r="I374" s="58" t="str">
        <x:f>""</x:f>
      </x:c>
      <x:c r="J374" s="58" t="n">
        <x:f>IF(G374="","",ABS(E374-G374))</x:f>
        <x:v>38</x:v>
      </x:c>
      <x:c r="K374" s="58" t="n">
        <x:f>IF(H374="","",ABS(E374-H374))</x:f>
        <x:v>152.5</x:v>
      </x:c>
      <x:c r="L374" s="58" t="str">
        <x:f>IF(I374="","",ABS(E374-I374))</x:f>
      </x:c>
      <x:c r="M374" s="23" t="str">
        <x:f>IF(B374&gt;44,"Validation","Training")</x:f>
        <x:v>Training</x:v>
      </x:c>
      <x:c r="N374" s="61" t="n">
        <x:f>IF(OR(H374="",E374=0),"",K374/E374)</x:f>
        <x:v>0.34502262443438914</x:v>
      </x:c>
    </x:row>
    <x:row r="375">
      <x:c r="A375" s="28" t="n">
        <x:v>40560</x:v>
      </x:c>
      <x:c r="B375" s="23" t="n">
        <x:v>7</x:v>
      </x:c>
      <x:c r="C375" s="23" t="str">
        <x:v>84879</x:v>
      </x:c>
      <x:c r="D375" s="23" t="str">
        <x:v>ASSORTED COLOUR BIRD ORNAMENT</x:v>
      </x:c>
      <x:c r="E375" s="34" t="n">
        <x:v>139</x:v>
      </x:c>
      <x:c r="F375" s="55" t="n">
        <x:v>257.79</x:v>
      </x:c>
      <x:c r="G375" s="58" t="n">
        <x:f>E374</x:f>
        <x:v>442</x:v>
      </x:c>
      <x:c r="H375" s="58" t="n">
        <x:f>AVERAGE(E371:E374)</x:f>
        <x:v>240.5</x:v>
      </x:c>
      <x:c r="I375" s="58" t="str">
        <x:f>""</x:f>
      </x:c>
      <x:c r="J375" s="58" t="n">
        <x:f>IF(G375="","",ABS(E375-G375))</x:f>
        <x:v>303</x:v>
      </x:c>
      <x:c r="K375" s="58" t="n">
        <x:f>IF(H375="","",ABS(E375-H375))</x:f>
        <x:v>101.5</x:v>
      </x:c>
      <x:c r="L375" s="58" t="str">
        <x:f>IF(I375="","",ABS(E375-I375))</x:f>
      </x:c>
      <x:c r="M375" s="23" t="str">
        <x:f>IF(B375&gt;44,"Validation","Training")</x:f>
        <x:v>Training</x:v>
      </x:c>
      <x:c r="N375" s="61" t="n">
        <x:f>IF(OR(H375="",E375=0),"",K375/E375)</x:f>
        <x:v>0.7302158273381295</x:v>
      </x:c>
    </x:row>
    <x:row r="376">
      <x:c r="A376" s="28" t="n">
        <x:v>40567</x:v>
      </x:c>
      <x:c r="B376" s="23" t="n">
        <x:v>8</x:v>
      </x:c>
      <x:c r="C376" s="23" t="str">
        <x:v>84879</x:v>
      </x:c>
      <x:c r="D376" s="23" t="str">
        <x:v>ASSORTED COLOUR BIRD ORNAMENT</x:v>
      </x:c>
      <x:c r="E376" s="34" t="n">
        <x:v>344</x:v>
      </x:c>
      <x:c r="F376" s="55" t="n">
        <x:v>554.4</x:v>
      </x:c>
      <x:c r="G376" s="58" t="n">
        <x:f>E375</x:f>
        <x:v>139</x:v>
      </x:c>
      <x:c r="H376" s="58" t="n">
        <x:f>AVERAGE(E372:E375)</x:f>
        <x:v>265.25</x:v>
      </x:c>
      <x:c r="I376" s="58" t="str">
        <x:f>""</x:f>
      </x:c>
      <x:c r="J376" s="58" t="n">
        <x:f>IF(G376="","",ABS(E376-G376))</x:f>
        <x:v>205</x:v>
      </x:c>
      <x:c r="K376" s="58" t="n">
        <x:f>IF(H376="","",ABS(E376-H376))</x:f>
        <x:v>78.75</x:v>
      </x:c>
      <x:c r="L376" s="58" t="str">
        <x:f>IF(I376="","",ABS(E376-I376))</x:f>
      </x:c>
      <x:c r="M376" s="23" t="str">
        <x:f>IF(B376&gt;44,"Validation","Training")</x:f>
        <x:v>Training</x:v>
      </x:c>
      <x:c r="N376" s="61" t="n">
        <x:f>IF(OR(H376="",E376=0),"",K376/E376)</x:f>
        <x:v>0.22892441860465115</x:v>
      </x:c>
    </x:row>
    <x:row r="377">
      <x:c r="A377" s="28" t="n">
        <x:v>40574</x:v>
      </x:c>
      <x:c r="B377" s="23" t="n">
        <x:v>9</x:v>
      </x:c>
      <x:c r="C377" s="23" t="str">
        <x:v>84879</x:v>
      </x:c>
      <x:c r="D377" s="23" t="str">
        <x:v>ASSORTED COLOUR BIRD ORNAMENT</x:v>
      </x:c>
      <x:c r="E377" s="34" t="n">
        <x:v>937</x:v>
      </x:c>
      <x:c r="F377" s="55" t="n">
        <x:v>1429.93</x:v>
      </x:c>
      <x:c r="G377" s="58" t="n">
        <x:f>E376</x:f>
        <x:v>344</x:v>
      </x:c>
      <x:c r="H377" s="58" t="n">
        <x:f>AVERAGE(E373:E376)</x:f>
        <x:v>351.25</x:v>
      </x:c>
      <x:c r="I377" s="58" t="n">
        <x:f>AVERAGE(E369:E376)</x:f>
        <x:v>359</x:v>
      </x:c>
      <x:c r="J377" s="58" t="n">
        <x:f>IF(G377="","",ABS(E377-G377))</x:f>
        <x:v>593</x:v>
      </x:c>
      <x:c r="K377" s="58" t="n">
        <x:f>IF(H377="","",ABS(E377-H377))</x:f>
        <x:v>585.75</x:v>
      </x:c>
      <x:c r="L377" s="58" t="n">
        <x:f>IF(I377="","",ABS(E377-I377))</x:f>
        <x:v>578</x:v>
      </x:c>
      <x:c r="M377" s="23" t="str">
        <x:f>IF(B377&gt;44,"Validation","Training")</x:f>
        <x:v>Training</x:v>
      </x:c>
      <x:c r="N377" s="61" t="n">
        <x:f>IF(OR(H377="",E377=0),"",K377/E377)</x:f>
        <x:v>0.6251334044823906</x:v>
      </x:c>
    </x:row>
    <x:row r="378">
      <x:c r="A378" s="28" t="n">
        <x:v>40581</x:v>
      </x:c>
      <x:c r="B378" s="23" t="n">
        <x:v>10</x:v>
      </x:c>
      <x:c r="C378" s="23" t="str">
        <x:v>84879</x:v>
      </x:c>
      <x:c r="D378" s="23" t="str">
        <x:v>ASSORTED COLOUR BIRD ORNAMENT</x:v>
      </x:c>
      <x:c r="E378" s="34" t="n">
        <x:v>160</x:v>
      </x:c>
      <x:c r="F378" s="55" t="n">
        <x:v>281.84</x:v>
      </x:c>
      <x:c r="G378" s="58" t="n">
        <x:f>E377</x:f>
        <x:v>937</x:v>
      </x:c>
      <x:c r="H378" s="58" t="n">
        <x:f>AVERAGE(E374:E377)</x:f>
        <x:v>465.5</x:v>
      </x:c>
      <x:c r="I378" s="58" t="n">
        <x:f>AVERAGE(E370:E377)</x:f>
        <x:v>377.5</x:v>
      </x:c>
      <x:c r="J378" s="58" t="n">
        <x:f>IF(G378="","",ABS(E378-G378))</x:f>
        <x:v>777</x:v>
      </x:c>
      <x:c r="K378" s="58" t="n">
        <x:f>IF(H378="","",ABS(E378-H378))</x:f>
        <x:v>305.5</x:v>
      </x:c>
      <x:c r="L378" s="58" t="n">
        <x:f>IF(I378="","",ABS(E378-I378))</x:f>
        <x:v>217.5</x:v>
      </x:c>
      <x:c r="M378" s="23" t="str">
        <x:f>IF(B378&gt;44,"Validation","Training")</x:f>
        <x:v>Training</x:v>
      </x:c>
      <x:c r="N378" s="61" t="n">
        <x:f>IF(OR(H378="",E378=0),"",K378/E378)</x:f>
        <x:v>1.909375</x:v>
      </x:c>
    </x:row>
    <x:row r="379">
      <x:c r="A379" s="28" t="n">
        <x:v>40588</x:v>
      </x:c>
      <x:c r="B379" s="23" t="n">
        <x:v>11</x:v>
      </x:c>
      <x:c r="C379" s="23" t="str">
        <x:v>84879</x:v>
      </x:c>
      <x:c r="D379" s="23" t="str">
        <x:v>ASSORTED COLOUR BIRD ORNAMENT</x:v>
      </x:c>
      <x:c r="E379" s="34" t="n">
        <x:v>588</x:v>
      </x:c>
      <x:c r="F379" s="55" t="n">
        <x:v>955.32</x:v>
      </x:c>
      <x:c r="G379" s="58" t="n">
        <x:f>E378</x:f>
        <x:v>160</x:v>
      </x:c>
      <x:c r="H379" s="58" t="n">
        <x:f>AVERAGE(E375:E378)</x:f>
        <x:v>395</x:v>
      </x:c>
      <x:c r="I379" s="58" t="n">
        <x:f>AVERAGE(E371:E378)</x:f>
        <x:v>317.75</x:v>
      </x:c>
      <x:c r="J379" s="58" t="n">
        <x:f>IF(G379="","",ABS(E379-G379))</x:f>
        <x:v>428</x:v>
      </x:c>
      <x:c r="K379" s="58" t="n">
        <x:f>IF(H379="","",ABS(E379-H379))</x:f>
        <x:v>193</x:v>
      </x:c>
      <x:c r="L379" s="58" t="n">
        <x:f>IF(I379="","",ABS(E379-I379))</x:f>
        <x:v>270.25</x:v>
      </x:c>
      <x:c r="M379" s="23" t="str">
        <x:f>IF(B379&gt;44,"Validation","Training")</x:f>
        <x:v>Training</x:v>
      </x:c>
      <x:c r="N379" s="61" t="n">
        <x:f>IF(OR(H379="",E379=0),"",K379/E379)</x:f>
        <x:v>0.3282312925170068</x:v>
      </x:c>
    </x:row>
    <x:row r="380">
      <x:c r="A380" s="28" t="n">
        <x:v>40595</x:v>
      </x:c>
      <x:c r="B380" s="23" t="n">
        <x:v>12</x:v>
      </x:c>
      <x:c r="C380" s="23" t="str">
        <x:v>84879</x:v>
      </x:c>
      <x:c r="D380" s="23" t="str">
        <x:v>ASSORTED COLOUR BIRD ORNAMENT</x:v>
      </x:c>
      <x:c r="E380" s="34" t="n">
        <x:v>328</x:v>
      </x:c>
      <x:c r="F380" s="55" t="n">
        <x:v>554.32</x:v>
      </x:c>
      <x:c r="G380" s="58" t="n">
        <x:f>E379</x:f>
        <x:v>588</x:v>
      </x:c>
      <x:c r="H380" s="58" t="n">
        <x:f>AVERAGE(E376:E379)</x:f>
        <x:v>507.25</x:v>
      </x:c>
      <x:c r="I380" s="58" t="n">
        <x:f>AVERAGE(E372:E379)</x:f>
        <x:v>386.25</x:v>
      </x:c>
      <x:c r="J380" s="58" t="n">
        <x:f>IF(G380="","",ABS(E380-G380))</x:f>
        <x:v>260</x:v>
      </x:c>
      <x:c r="K380" s="58" t="n">
        <x:f>IF(H380="","",ABS(E380-H380))</x:f>
        <x:v>179.25</x:v>
      </x:c>
      <x:c r="L380" s="58" t="n">
        <x:f>IF(I380="","",ABS(E380-I380))</x:f>
        <x:v>58.25</x:v>
      </x:c>
      <x:c r="M380" s="23" t="str">
        <x:f>IF(B380&gt;44,"Validation","Training")</x:f>
        <x:v>Training</x:v>
      </x:c>
      <x:c r="N380" s="61" t="n">
        <x:f>IF(OR(H380="",E380=0),"",K380/E380)</x:f>
        <x:v>0.5464939024390244</x:v>
      </x:c>
    </x:row>
    <x:row r="381">
      <x:c r="A381" s="28" t="n">
        <x:v>40602</x:v>
      </x:c>
      <x:c r="B381" s="23" t="n">
        <x:v>13</x:v>
      </x:c>
      <x:c r="C381" s="23" t="str">
        <x:v>84879</x:v>
      </x:c>
      <x:c r="D381" s="23" t="str">
        <x:v>ASSORTED COLOUR BIRD ORNAMENT</x:v>
      </x:c>
      <x:c r="E381" s="34" t="n">
        <x:v>213</x:v>
      </x:c>
      <x:c r="F381" s="55" t="n">
        <x:v>394.29</x:v>
      </x:c>
      <x:c r="G381" s="58" t="n">
        <x:f>E380</x:f>
        <x:v>328</x:v>
      </x:c>
      <x:c r="H381" s="58" t="n">
        <x:f>AVERAGE(E377:E380)</x:f>
        <x:v>503.25</x:v>
      </x:c>
      <x:c r="I381" s="58" t="n">
        <x:f>AVERAGE(E373:E380)</x:f>
        <x:v>427.25</x:v>
      </x:c>
      <x:c r="J381" s="58" t="n">
        <x:f>IF(G381="","",ABS(E381-G381))</x:f>
        <x:v>115</x:v>
      </x:c>
      <x:c r="K381" s="58" t="n">
        <x:f>IF(H381="","",ABS(E381-H381))</x:f>
        <x:v>290.25</x:v>
      </x:c>
      <x:c r="L381" s="58" t="n">
        <x:f>IF(I381="","",ABS(E381-I381))</x:f>
        <x:v>214.25</x:v>
      </x:c>
      <x:c r="M381" s="23" t="str">
        <x:f>IF(B381&gt;44,"Validation","Training")</x:f>
        <x:v>Training</x:v>
      </x:c>
      <x:c r="N381" s="61" t="n">
        <x:f>IF(OR(H381="",E381=0),"",K381/E381)</x:f>
        <x:v>1.3626760563380282</x:v>
      </x:c>
    </x:row>
    <x:row r="382">
      <x:c r="A382" s="28" t="n">
        <x:v>40609</x:v>
      </x:c>
      <x:c r="B382" s="23" t="n">
        <x:v>14</x:v>
      </x:c>
      <x:c r="C382" s="23" t="str">
        <x:v>84879</x:v>
      </x:c>
      <x:c r="D382" s="23" t="str">
        <x:v>ASSORTED COLOUR BIRD ORNAMENT</x:v>
      </x:c>
      <x:c r="E382" s="34" t="n">
        <x:v>642</x:v>
      </x:c>
      <x:c r="F382" s="55" t="n">
        <x:v>1019.62</x:v>
      </x:c>
      <x:c r="G382" s="58" t="n">
        <x:f>E381</x:f>
        <x:v>213</x:v>
      </x:c>
      <x:c r="H382" s="58" t="n">
        <x:f>AVERAGE(E378:E381)</x:f>
        <x:v>322.25</x:v>
      </x:c>
      <x:c r="I382" s="58" t="n">
        <x:f>AVERAGE(E374:E381)</x:f>
        <x:v>393.875</x:v>
      </x:c>
      <x:c r="J382" s="58" t="n">
        <x:f>IF(G382="","",ABS(E382-G382))</x:f>
        <x:v>429</x:v>
      </x:c>
      <x:c r="K382" s="58" t="n">
        <x:f>IF(H382="","",ABS(E382-H382))</x:f>
        <x:v>319.75</x:v>
      </x:c>
      <x:c r="L382" s="58" t="n">
        <x:f>IF(I382="","",ABS(E382-I382))</x:f>
        <x:v>248.125</x:v>
      </x:c>
      <x:c r="M382" s="23" t="str">
        <x:f>IF(B382&gt;44,"Validation","Training")</x:f>
        <x:v>Training</x:v>
      </x:c>
      <x:c r="N382" s="61" t="n">
        <x:f>IF(OR(H382="",E382=0),"",K382/E382)</x:f>
        <x:v>0.49805295950155765</x:v>
      </x:c>
    </x:row>
    <x:row r="383">
      <x:c r="A383" s="28" t="n">
        <x:v>40616</x:v>
      </x:c>
      <x:c r="B383" s="23" t="n">
        <x:v>15</x:v>
      </x:c>
      <x:c r="C383" s="23" t="str">
        <x:v>84879</x:v>
      </x:c>
      <x:c r="D383" s="23" t="str">
        <x:v>ASSORTED COLOUR BIRD ORNAMENT</x:v>
      </x:c>
      <x:c r="E383" s="34" t="n">
        <x:v>968</x:v>
      </x:c>
      <x:c r="F383" s="55" t="n">
        <x:v>1520.72</x:v>
      </x:c>
      <x:c r="G383" s="58" t="n">
        <x:f>E382</x:f>
        <x:v>642</x:v>
      </x:c>
      <x:c r="H383" s="58" t="n">
        <x:f>AVERAGE(E379:E382)</x:f>
        <x:v>442.75</x:v>
      </x:c>
      <x:c r="I383" s="58" t="n">
        <x:f>AVERAGE(E375:E382)</x:f>
        <x:v>418.875</x:v>
      </x:c>
      <x:c r="J383" s="58" t="n">
        <x:f>IF(G383="","",ABS(E383-G383))</x:f>
        <x:v>326</x:v>
      </x:c>
      <x:c r="K383" s="58" t="n">
        <x:f>IF(H383="","",ABS(E383-H383))</x:f>
        <x:v>525.25</x:v>
      </x:c>
      <x:c r="L383" s="58" t="n">
        <x:f>IF(I383="","",ABS(E383-I383))</x:f>
        <x:v>549.125</x:v>
      </x:c>
      <x:c r="M383" s="23" t="str">
        <x:f>IF(B383&gt;44,"Validation","Training")</x:f>
        <x:v>Training</x:v>
      </x:c>
      <x:c r="N383" s="61" t="n">
        <x:f>IF(OR(H383="",E383=0),"",K383/E383)</x:f>
        <x:v>0.5426136363636364</x:v>
      </x:c>
    </x:row>
    <x:row r="384">
      <x:c r="A384" s="28" t="n">
        <x:v>40623</x:v>
      </x:c>
      <x:c r="B384" s="23" t="n">
        <x:v>16</x:v>
      </x:c>
      <x:c r="C384" s="23" t="str">
        <x:v>84879</x:v>
      </x:c>
      <x:c r="D384" s="23" t="str">
        <x:v>ASSORTED COLOUR BIRD ORNAMENT</x:v>
      </x:c>
      <x:c r="E384" s="34" t="n">
        <x:v>391</x:v>
      </x:c>
      <x:c r="F384" s="55" t="n">
        <x:v>660.79</x:v>
      </x:c>
      <x:c r="G384" s="58" t="n">
        <x:f>E383</x:f>
        <x:v>968</x:v>
      </x:c>
      <x:c r="H384" s="58" t="n">
        <x:f>AVERAGE(E380:E383)</x:f>
        <x:v>537.75</x:v>
      </x:c>
      <x:c r="I384" s="58" t="n">
        <x:f>AVERAGE(E376:E383)</x:f>
        <x:v>522.5</x:v>
      </x:c>
      <x:c r="J384" s="58" t="n">
        <x:f>IF(G384="","",ABS(E384-G384))</x:f>
        <x:v>577</x:v>
      </x:c>
      <x:c r="K384" s="58" t="n">
        <x:f>IF(H384="","",ABS(E384-H384))</x:f>
        <x:v>146.75</x:v>
      </x:c>
      <x:c r="L384" s="58" t="n">
        <x:f>IF(I384="","",ABS(E384-I384))</x:f>
        <x:v>131.5</x:v>
      </x:c>
      <x:c r="M384" s="23" t="str">
        <x:f>IF(B384&gt;44,"Validation","Training")</x:f>
        <x:v>Training</x:v>
      </x:c>
      <x:c r="N384" s="61" t="n">
        <x:f>IF(OR(H384="",E384=0),"",K384/E384)</x:f>
        <x:v>0.37531969309462915</x:v>
      </x:c>
    </x:row>
    <x:row r="385">
      <x:c r="A385" s="28" t="n">
        <x:v>40630</x:v>
      </x:c>
      <x:c r="B385" s="23" t="n">
        <x:v>17</x:v>
      </x:c>
      <x:c r="C385" s="23" t="str">
        <x:v>84879</x:v>
      </x:c>
      <x:c r="D385" s="23" t="str">
        <x:v>ASSORTED COLOUR BIRD ORNAMENT</x:v>
      </x:c>
      <x:c r="E385" s="34" t="n">
        <x:v>585</x:v>
      </x:c>
      <x:c r="F385" s="55" t="n">
        <x:v>961.69</x:v>
      </x:c>
      <x:c r="G385" s="58" t="n">
        <x:f>E384</x:f>
        <x:v>391</x:v>
      </x:c>
      <x:c r="H385" s="58" t="n">
        <x:f>AVERAGE(E381:E384)</x:f>
        <x:v>553.5</x:v>
      </x:c>
      <x:c r="I385" s="58" t="n">
        <x:f>AVERAGE(E377:E384)</x:f>
        <x:v>528.375</x:v>
      </x:c>
      <x:c r="J385" s="58" t="n">
        <x:f>IF(G385="","",ABS(E385-G385))</x:f>
        <x:v>194</x:v>
      </x:c>
      <x:c r="K385" s="58" t="n">
        <x:f>IF(H385="","",ABS(E385-H385))</x:f>
        <x:v>31.5</x:v>
      </x:c>
      <x:c r="L385" s="58" t="n">
        <x:f>IF(I385="","",ABS(E385-I385))</x:f>
        <x:v>56.625</x:v>
      </x:c>
      <x:c r="M385" s="23" t="str">
        <x:f>IF(B385&gt;44,"Validation","Training")</x:f>
        <x:v>Training</x:v>
      </x:c>
      <x:c r="N385" s="61" t="n">
        <x:f>IF(OR(H385="",E385=0),"",K385/E385)</x:f>
        <x:v>0.05384615384615385</x:v>
      </x:c>
    </x:row>
    <x:row r="386">
      <x:c r="A386" s="28" t="n">
        <x:v>40637</x:v>
      </x:c>
      <x:c r="B386" s="23" t="n">
        <x:v>18</x:v>
      </x:c>
      <x:c r="C386" s="23" t="str">
        <x:v>84879</x:v>
      </x:c>
      <x:c r="D386" s="23" t="str">
        <x:v>ASSORTED COLOUR BIRD ORNAMENT</x:v>
      </x:c>
      <x:c r="E386" s="34" t="n">
        <x:v>753</x:v>
      </x:c>
      <x:c r="F386" s="55" t="n">
        <x:v>1207.21</x:v>
      </x:c>
      <x:c r="G386" s="58" t="n">
        <x:f>E385</x:f>
        <x:v>585</x:v>
      </x:c>
      <x:c r="H386" s="58" t="n">
        <x:f>AVERAGE(E382:E385)</x:f>
        <x:v>646.5</x:v>
      </x:c>
      <x:c r="I386" s="58" t="n">
        <x:f>AVERAGE(E378:E385)</x:f>
        <x:v>484.375</x:v>
      </x:c>
      <x:c r="J386" s="58" t="n">
        <x:f>IF(G386="","",ABS(E386-G386))</x:f>
        <x:v>168</x:v>
      </x:c>
      <x:c r="K386" s="58" t="n">
        <x:f>IF(H386="","",ABS(E386-H386))</x:f>
        <x:v>106.5</x:v>
      </x:c>
      <x:c r="L386" s="58" t="n">
        <x:f>IF(I386="","",ABS(E386-I386))</x:f>
        <x:v>268.625</x:v>
      </x:c>
      <x:c r="M386" s="23" t="str">
        <x:f>IF(B386&gt;44,"Validation","Training")</x:f>
        <x:v>Training</x:v>
      </x:c>
      <x:c r="N386" s="61" t="n">
        <x:f>IF(OR(H386="",E386=0),"",K386/E386)</x:f>
        <x:v>0.14143426294820718</x:v>
      </x:c>
    </x:row>
    <x:row r="387">
      <x:c r="A387" s="28" t="n">
        <x:v>40644</x:v>
      </x:c>
      <x:c r="B387" s="23" t="n">
        <x:v>19</x:v>
      </x:c>
      <x:c r="C387" s="23" t="str">
        <x:v>84879</x:v>
      </x:c>
      <x:c r="D387" s="23" t="str">
        <x:v>ASSORTED COLOUR BIRD ORNAMENT</x:v>
      </x:c>
      <x:c r="E387" s="34" t="n">
        <x:v>815</x:v>
      </x:c>
      <x:c r="F387" s="55" t="n">
        <x:v>1377.35</x:v>
      </x:c>
      <x:c r="G387" s="58" t="n">
        <x:f>E386</x:f>
        <x:v>753</x:v>
      </x:c>
      <x:c r="H387" s="58" t="n">
        <x:f>AVERAGE(E383:E386)</x:f>
        <x:v>674.25</x:v>
      </x:c>
      <x:c r="I387" s="58" t="n">
        <x:f>AVERAGE(E379:E386)</x:f>
        <x:v>558.5</x:v>
      </x:c>
      <x:c r="J387" s="58" t="n">
        <x:f>IF(G387="","",ABS(E387-G387))</x:f>
        <x:v>62</x:v>
      </x:c>
      <x:c r="K387" s="58" t="n">
        <x:f>IF(H387="","",ABS(E387-H387))</x:f>
        <x:v>140.75</x:v>
      </x:c>
      <x:c r="L387" s="58" t="n">
        <x:f>IF(I387="","",ABS(E387-I387))</x:f>
        <x:v>256.5</x:v>
      </x:c>
      <x:c r="M387" s="23" t="str">
        <x:f>IF(B387&gt;44,"Validation","Training")</x:f>
        <x:v>Training</x:v>
      </x:c>
      <x:c r="N387" s="61" t="n">
        <x:f>IF(OR(H387="",E387=0),"",K387/E387)</x:f>
        <x:v>0.1726993865030675</x:v>
      </x:c>
    </x:row>
    <x:row r="388">
      <x:c r="A388" s="28" t="n">
        <x:v>40651</x:v>
      </x:c>
      <x:c r="B388" s="23" t="n">
        <x:v>20</x:v>
      </x:c>
      <x:c r="C388" s="23" t="str">
        <x:v>84879</x:v>
      </x:c>
      <x:c r="D388" s="23" t="str">
        <x:v>ASSORTED COLOUR BIRD ORNAMENT</x:v>
      </x:c>
      <x:c r="E388" s="34" t="n">
        <x:v>612</x:v>
      </x:c>
      <x:c r="F388" s="55" t="n">
        <x:v>952.92</x:v>
      </x:c>
      <x:c r="G388" s="58" t="n">
        <x:f>E387</x:f>
        <x:v>815</x:v>
      </x:c>
      <x:c r="H388" s="58" t="n">
        <x:f>AVERAGE(E384:E387)</x:f>
        <x:v>636</x:v>
      </x:c>
      <x:c r="I388" s="58" t="n">
        <x:f>AVERAGE(E380:E387)</x:f>
        <x:v>586.875</x:v>
      </x:c>
      <x:c r="J388" s="58" t="n">
        <x:f>IF(G388="","",ABS(E388-G388))</x:f>
        <x:v>203</x:v>
      </x:c>
      <x:c r="K388" s="58" t="n">
        <x:f>IF(H388="","",ABS(E388-H388))</x:f>
        <x:v>24</x:v>
      </x:c>
      <x:c r="L388" s="58" t="n">
        <x:f>IF(I388="","",ABS(E388-I388))</x:f>
        <x:v>25.125</x:v>
      </x:c>
      <x:c r="M388" s="23" t="str">
        <x:f>IF(B388&gt;44,"Validation","Training")</x:f>
        <x:v>Training</x:v>
      </x:c>
      <x:c r="N388" s="61" t="n">
        <x:f>IF(OR(H388="",E388=0),"",K388/E388)</x:f>
        <x:v>0.0392156862745098</x:v>
      </x:c>
    </x:row>
    <x:row r="389">
      <x:c r="A389" s="28" t="n">
        <x:v>40658</x:v>
      </x:c>
      <x:c r="B389" s="23" t="n">
        <x:v>21</x:v>
      </x:c>
      <x:c r="C389" s="23" t="str">
        <x:v>84879</x:v>
      </x:c>
      <x:c r="D389" s="23" t="str">
        <x:v>ASSORTED COLOUR BIRD ORNAMENT</x:v>
      </x:c>
      <x:c r="E389" s="34" t="n">
        <x:v>264</x:v>
      </x:c>
      <x:c r="F389" s="55" t="n">
        <x:v>440.72</x:v>
      </x:c>
      <x:c r="G389" s="58" t="n">
        <x:f>E388</x:f>
        <x:v>612</x:v>
      </x:c>
      <x:c r="H389" s="58" t="n">
        <x:f>AVERAGE(E385:E388)</x:f>
        <x:v>691.25</x:v>
      </x:c>
      <x:c r="I389" s="58" t="n">
        <x:f>AVERAGE(E381:E388)</x:f>
        <x:v>622.375</x:v>
      </x:c>
      <x:c r="J389" s="58" t="n">
        <x:f>IF(G389="","",ABS(E389-G389))</x:f>
        <x:v>348</x:v>
      </x:c>
      <x:c r="K389" s="58" t="n">
        <x:f>IF(H389="","",ABS(E389-H389))</x:f>
        <x:v>427.25</x:v>
      </x:c>
      <x:c r="L389" s="58" t="n">
        <x:f>IF(I389="","",ABS(E389-I389))</x:f>
        <x:v>358.375</x:v>
      </x:c>
      <x:c r="M389" s="23" t="str">
        <x:f>IF(B389&gt;44,"Validation","Training")</x:f>
        <x:v>Training</x:v>
      </x:c>
      <x:c r="N389" s="61" t="n">
        <x:f>IF(OR(H389="",E389=0),"",K389/E389)</x:f>
        <x:v>1.6183712121212122</x:v>
      </x:c>
    </x:row>
    <x:row r="390">
      <x:c r="A390" s="28" t="n">
        <x:v>40665</x:v>
      </x:c>
      <x:c r="B390" s="23" t="n">
        <x:v>22</x:v>
      </x:c>
      <x:c r="C390" s="23" t="str">
        <x:v>84879</x:v>
      </x:c>
      <x:c r="D390" s="23" t="str">
        <x:v>ASSORTED COLOUR BIRD ORNAMENT</x:v>
      </x:c>
      <x:c r="E390" s="34" t="n">
        <x:v>594</x:v>
      </x:c>
      <x:c r="F390" s="55" t="n">
        <x:v>1015.3</x:v>
      </x:c>
      <x:c r="G390" s="58" t="n">
        <x:f>E389</x:f>
        <x:v>264</x:v>
      </x:c>
      <x:c r="H390" s="58" t="n">
        <x:f>AVERAGE(E386:E389)</x:f>
        <x:v>611</x:v>
      </x:c>
      <x:c r="I390" s="58" t="n">
        <x:f>AVERAGE(E382:E389)</x:f>
        <x:v>628.75</x:v>
      </x:c>
      <x:c r="J390" s="58" t="n">
        <x:f>IF(G390="","",ABS(E390-G390))</x:f>
        <x:v>330</x:v>
      </x:c>
      <x:c r="K390" s="58" t="n">
        <x:f>IF(H390="","",ABS(E390-H390))</x:f>
        <x:v>17</x:v>
      </x:c>
      <x:c r="L390" s="58" t="n">
        <x:f>IF(I390="","",ABS(E390-I390))</x:f>
        <x:v>34.75</x:v>
      </x:c>
      <x:c r="M390" s="23" t="str">
        <x:f>IF(B390&gt;44,"Validation","Training")</x:f>
        <x:v>Training</x:v>
      </x:c>
      <x:c r="N390" s="61" t="n">
        <x:f>IF(OR(H390="",E390=0),"",K390/E390)</x:f>
        <x:v>0.02861952861952862</x:v>
      </x:c>
    </x:row>
    <x:row r="391">
      <x:c r="A391" s="28" t="n">
        <x:v>40672</x:v>
      </x:c>
      <x:c r="B391" s="23" t="n">
        <x:v>23</x:v>
      </x:c>
      <x:c r="C391" s="23" t="str">
        <x:v>84879</x:v>
      </x:c>
      <x:c r="D391" s="23" t="str">
        <x:v>ASSORTED COLOUR BIRD ORNAMENT</x:v>
      </x:c>
      <x:c r="E391" s="34" t="n">
        <x:v>1201</x:v>
      </x:c>
      <x:c r="F391" s="55" t="n">
        <x:v>1925.93</x:v>
      </x:c>
      <x:c r="G391" s="58" t="n">
        <x:f>E390</x:f>
        <x:v>594</x:v>
      </x:c>
      <x:c r="H391" s="58" t="n">
        <x:f>AVERAGE(E387:E390)</x:f>
        <x:v>571.25</x:v>
      </x:c>
      <x:c r="I391" s="58" t="n">
        <x:f>AVERAGE(E383:E390)</x:f>
        <x:v>622.75</x:v>
      </x:c>
      <x:c r="J391" s="58" t="n">
        <x:f>IF(G391="","",ABS(E391-G391))</x:f>
        <x:v>607</x:v>
      </x:c>
      <x:c r="K391" s="58" t="n">
        <x:f>IF(H391="","",ABS(E391-H391))</x:f>
        <x:v>629.75</x:v>
      </x:c>
      <x:c r="L391" s="58" t="n">
        <x:f>IF(I391="","",ABS(E391-I391))</x:f>
        <x:v>578.25</x:v>
      </x:c>
      <x:c r="M391" s="23" t="str">
        <x:f>IF(B391&gt;44,"Validation","Training")</x:f>
        <x:v>Training</x:v>
      </x:c>
      <x:c r="N391" s="61" t="n">
        <x:f>IF(OR(H391="",E391=0),"",K391/E391)</x:f>
        <x:v>0.5243547044129891</x:v>
      </x:c>
    </x:row>
    <x:row r="392">
      <x:c r="A392" s="28" t="n">
        <x:v>40679</x:v>
      </x:c>
      <x:c r="B392" s="23" t="n">
        <x:v>24</x:v>
      </x:c>
      <x:c r="C392" s="23" t="str">
        <x:v>84879</x:v>
      </x:c>
      <x:c r="D392" s="23" t="str">
        <x:v>ASSORTED COLOUR BIRD ORNAMENT</x:v>
      </x:c>
      <x:c r="E392" s="34" t="n">
        <x:v>595</x:v>
      </x:c>
      <x:c r="F392" s="55" t="n">
        <x:v>1016.99</x:v>
      </x:c>
      <x:c r="G392" s="58" t="n">
        <x:f>E391</x:f>
        <x:v>1201</x:v>
      </x:c>
      <x:c r="H392" s="58" t="n">
        <x:f>AVERAGE(E388:E391)</x:f>
        <x:v>667.75</x:v>
      </x:c>
      <x:c r="I392" s="58" t="n">
        <x:f>AVERAGE(E384:E391)</x:f>
        <x:v>651.875</x:v>
      </x:c>
      <x:c r="J392" s="58" t="n">
        <x:f>IF(G392="","",ABS(E392-G392))</x:f>
        <x:v>606</x:v>
      </x:c>
      <x:c r="K392" s="58" t="n">
        <x:f>IF(H392="","",ABS(E392-H392))</x:f>
        <x:v>72.75</x:v>
      </x:c>
      <x:c r="L392" s="58" t="n">
        <x:f>IF(I392="","",ABS(E392-I392))</x:f>
        <x:v>56.875</x:v>
      </x:c>
      <x:c r="M392" s="23" t="str">
        <x:f>IF(B392&gt;44,"Validation","Training")</x:f>
        <x:v>Training</x:v>
      </x:c>
      <x:c r="N392" s="61" t="n">
        <x:f>IF(OR(H392="",E392=0),"",K392/E392)</x:f>
        <x:v>0.1222689075630252</x:v>
      </x:c>
    </x:row>
    <x:row r="393">
      <x:c r="A393" s="28" t="n">
        <x:v>40686</x:v>
      </x:c>
      <x:c r="B393" s="23" t="n">
        <x:v>25</x:v>
      </x:c>
      <x:c r="C393" s="23" t="str">
        <x:v>84879</x:v>
      </x:c>
      <x:c r="D393" s="23" t="str">
        <x:v>ASSORTED COLOUR BIRD ORNAMENT</x:v>
      </x:c>
      <x:c r="E393" s="34" t="n">
        <x:v>565</x:v>
      </x:c>
      <x:c r="F393" s="55" t="n">
        <x:v>916.45</x:v>
      </x:c>
      <x:c r="G393" s="58" t="n">
        <x:f>E392</x:f>
        <x:v>595</x:v>
      </x:c>
      <x:c r="H393" s="58" t="n">
        <x:f>AVERAGE(E389:E392)</x:f>
        <x:v>663.5</x:v>
      </x:c>
      <x:c r="I393" s="58" t="n">
        <x:f>AVERAGE(E385:E392)</x:f>
        <x:v>677.375</x:v>
      </x:c>
      <x:c r="J393" s="58" t="n">
        <x:f>IF(G393="","",ABS(E393-G393))</x:f>
        <x:v>30</x:v>
      </x:c>
      <x:c r="K393" s="58" t="n">
        <x:f>IF(H393="","",ABS(E393-H393))</x:f>
        <x:v>98.5</x:v>
      </x:c>
      <x:c r="L393" s="58" t="n">
        <x:f>IF(I393="","",ABS(E393-I393))</x:f>
        <x:v>112.375</x:v>
      </x:c>
      <x:c r="M393" s="23" t="str">
        <x:f>IF(B393&gt;44,"Validation","Training")</x:f>
        <x:v>Training</x:v>
      </x:c>
      <x:c r="N393" s="61" t="n">
        <x:f>IF(OR(H393="",E393=0),"",K393/E393)</x:f>
        <x:v>0.1743362831858407</x:v>
      </x:c>
    </x:row>
    <x:row r="394">
      <x:c r="A394" s="28" t="n">
        <x:v>40693</x:v>
      </x:c>
      <x:c r="B394" s="23" t="n">
        <x:v>26</x:v>
      </x:c>
      <x:c r="C394" s="23" t="str">
        <x:v>84879</x:v>
      </x:c>
      <x:c r="D394" s="23" t="str">
        <x:v>ASSORTED COLOUR BIRD ORNAMENT</x:v>
      </x:c>
      <x:c r="E394" s="34" t="n">
        <x:v>384</x:v>
      </x:c>
      <x:c r="F394" s="55" t="n">
        <x:v>648.96</x:v>
      </x:c>
      <x:c r="G394" s="58" t="n">
        <x:f>E393</x:f>
        <x:v>565</x:v>
      </x:c>
      <x:c r="H394" s="58" t="n">
        <x:f>AVERAGE(E390:E393)</x:f>
        <x:v>738.75</x:v>
      </x:c>
      <x:c r="I394" s="58" t="n">
        <x:f>AVERAGE(E386:E393)</x:f>
        <x:v>674.875</x:v>
      </x:c>
      <x:c r="J394" s="58" t="n">
        <x:f>IF(G394="","",ABS(E394-G394))</x:f>
        <x:v>181</x:v>
      </x:c>
      <x:c r="K394" s="58" t="n">
        <x:f>IF(H394="","",ABS(E394-H394))</x:f>
        <x:v>354.75</x:v>
      </x:c>
      <x:c r="L394" s="58" t="n">
        <x:f>IF(I394="","",ABS(E394-I394))</x:f>
        <x:v>290.875</x:v>
      </x:c>
      <x:c r="M394" s="23" t="str">
        <x:f>IF(B394&gt;44,"Validation","Training")</x:f>
        <x:v>Training</x:v>
      </x:c>
      <x:c r="N394" s="61" t="n">
        <x:f>IF(OR(H394="",E394=0),"",K394/E394)</x:f>
        <x:v>0.923828125</x:v>
      </x:c>
    </x:row>
    <x:row r="395">
      <x:c r="A395" s="28" t="n">
        <x:v>40700</x:v>
      </x:c>
      <x:c r="B395" s="23" t="n">
        <x:v>27</x:v>
      </x:c>
      <x:c r="C395" s="23" t="str">
        <x:v>84879</x:v>
      </x:c>
      <x:c r="D395" s="23" t="str">
        <x:v>ASSORTED COLOUR BIRD ORNAMENT</x:v>
      </x:c>
      <x:c r="E395" s="34" t="n">
        <x:v>292</x:v>
      </x:c>
      <x:c r="F395" s="55" t="n">
        <x:v>493.48</x:v>
      </x:c>
      <x:c r="G395" s="58" t="n">
        <x:f>E394</x:f>
        <x:v>384</x:v>
      </x:c>
      <x:c r="H395" s="58" t="n">
        <x:f>AVERAGE(E391:E394)</x:f>
        <x:v>686.25</x:v>
      </x:c>
      <x:c r="I395" s="58" t="n">
        <x:f>AVERAGE(E387:E394)</x:f>
        <x:v>628.75</x:v>
      </x:c>
      <x:c r="J395" s="58" t="n">
        <x:f>IF(G395="","",ABS(E395-G395))</x:f>
        <x:v>92</x:v>
      </x:c>
      <x:c r="K395" s="58" t="n">
        <x:f>IF(H395="","",ABS(E395-H395))</x:f>
        <x:v>394.25</x:v>
      </x:c>
      <x:c r="L395" s="58" t="n">
        <x:f>IF(I395="","",ABS(E395-I395))</x:f>
        <x:v>336.75</x:v>
      </x:c>
      <x:c r="M395" s="23" t="str">
        <x:f>IF(B395&gt;44,"Validation","Training")</x:f>
        <x:v>Training</x:v>
      </x:c>
      <x:c r="N395" s="61" t="n">
        <x:f>IF(OR(H395="",E395=0),"",K395/E395)</x:f>
        <x:v>1.3501712328767124</x:v>
      </x:c>
    </x:row>
    <x:row r="396">
      <x:c r="A396" s="28" t="n">
        <x:v>40707</x:v>
      </x:c>
      <x:c r="B396" s="23" t="n">
        <x:v>28</x:v>
      </x:c>
      <x:c r="C396" s="23" t="str">
        <x:v>84879</x:v>
      </x:c>
      <x:c r="D396" s="23" t="str">
        <x:v>ASSORTED COLOUR BIRD ORNAMENT</x:v>
      </x:c>
      <x:c r="E396" s="34" t="n">
        <x:v>446</x:v>
      </x:c>
      <x:c r="F396" s="55" t="n">
        <x:v>726.78</x:v>
      </x:c>
      <x:c r="G396" s="58" t="n">
        <x:f>E395</x:f>
        <x:v>292</x:v>
      </x:c>
      <x:c r="H396" s="58" t="n">
        <x:f>AVERAGE(E392:E395)</x:f>
        <x:v>459</x:v>
      </x:c>
      <x:c r="I396" s="58" t="n">
        <x:f>AVERAGE(E388:E395)</x:f>
        <x:v>563.375</x:v>
      </x:c>
      <x:c r="J396" s="58" t="n">
        <x:f>IF(G396="","",ABS(E396-G396))</x:f>
        <x:v>154</x:v>
      </x:c>
      <x:c r="K396" s="58" t="n">
        <x:f>IF(H396="","",ABS(E396-H396))</x:f>
        <x:v>13</x:v>
      </x:c>
      <x:c r="L396" s="58" t="n">
        <x:f>IF(I396="","",ABS(E396-I396))</x:f>
        <x:v>117.375</x:v>
      </x:c>
      <x:c r="M396" s="23" t="str">
        <x:f>IF(B396&gt;44,"Validation","Training")</x:f>
        <x:v>Training</x:v>
      </x:c>
      <x:c r="N396" s="61" t="n">
        <x:f>IF(OR(H396="",E396=0),"",K396/E396)</x:f>
        <x:v>0.02914798206278027</x:v>
      </x:c>
    </x:row>
    <x:row r="397">
      <x:c r="A397" s="28" t="n">
        <x:v>40714</x:v>
      </x:c>
      <x:c r="B397" s="23" t="n">
        <x:v>29</x:v>
      </x:c>
      <x:c r="C397" s="23" t="str">
        <x:v>84879</x:v>
      </x:c>
      <x:c r="D397" s="23" t="str">
        <x:v>ASSORTED COLOUR BIRD ORNAMENT</x:v>
      </x:c>
      <x:c r="E397" s="34" t="n">
        <x:v>270</x:v>
      </x:c>
      <x:c r="F397" s="55" t="n">
        <x:v>456.3</x:v>
      </x:c>
      <x:c r="G397" s="58" t="n">
        <x:f>E396</x:f>
        <x:v>446</x:v>
      </x:c>
      <x:c r="H397" s="58" t="n">
        <x:f>AVERAGE(E393:E396)</x:f>
        <x:v>421.75</x:v>
      </x:c>
      <x:c r="I397" s="58" t="n">
        <x:f>AVERAGE(E389:E396)</x:f>
        <x:v>542.625</x:v>
      </x:c>
      <x:c r="J397" s="58" t="n">
        <x:f>IF(G397="","",ABS(E397-G397))</x:f>
        <x:v>176</x:v>
      </x:c>
      <x:c r="K397" s="58" t="n">
        <x:f>IF(H397="","",ABS(E397-H397))</x:f>
        <x:v>151.75</x:v>
      </x:c>
      <x:c r="L397" s="58" t="n">
        <x:f>IF(I397="","",ABS(E397-I397))</x:f>
        <x:v>272.625</x:v>
      </x:c>
      <x:c r="M397" s="23" t="str">
        <x:f>IF(B397&gt;44,"Validation","Training")</x:f>
        <x:v>Training</x:v>
      </x:c>
      <x:c r="N397" s="61" t="n">
        <x:f>IF(OR(H397="",E397=0),"",K397/E397)</x:f>
        <x:v>0.562037037037037</x:v>
      </x:c>
    </x:row>
    <x:row r="398">
      <x:c r="A398" s="28" t="n">
        <x:v>40721</x:v>
      </x:c>
      <x:c r="B398" s="23" t="n">
        <x:v>30</x:v>
      </x:c>
      <x:c r="C398" s="23" t="str">
        <x:v>84879</x:v>
      </x:c>
      <x:c r="D398" s="23" t="str">
        <x:v>ASSORTED COLOUR BIRD ORNAMENT</x:v>
      </x:c>
      <x:c r="E398" s="34" t="n">
        <x:v>292</x:v>
      </x:c>
      <x:c r="F398" s="55" t="n">
        <x:v>504.92</x:v>
      </x:c>
      <x:c r="G398" s="58" t="n">
        <x:f>E397</x:f>
        <x:v>270</x:v>
      </x:c>
      <x:c r="H398" s="58" t="n">
        <x:f>AVERAGE(E394:E397)</x:f>
        <x:v>348</x:v>
      </x:c>
      <x:c r="I398" s="58" t="n">
        <x:f>AVERAGE(E390:E397)</x:f>
        <x:v>543.375</x:v>
      </x:c>
      <x:c r="J398" s="58" t="n">
        <x:f>IF(G398="","",ABS(E398-G398))</x:f>
        <x:v>22</x:v>
      </x:c>
      <x:c r="K398" s="58" t="n">
        <x:f>IF(H398="","",ABS(E398-H398))</x:f>
        <x:v>56</x:v>
      </x:c>
      <x:c r="L398" s="58" t="n">
        <x:f>IF(I398="","",ABS(E398-I398))</x:f>
        <x:v>251.375</x:v>
      </x:c>
      <x:c r="M398" s="23" t="str">
        <x:f>IF(B398&gt;44,"Validation","Training")</x:f>
        <x:v>Training</x:v>
      </x:c>
      <x:c r="N398" s="61" t="n">
        <x:f>IF(OR(H398="",E398=0),"",K398/E398)</x:f>
        <x:v>0.1917808219178082</x:v>
      </x:c>
    </x:row>
    <x:row r="399">
      <x:c r="A399" s="28" t="n">
        <x:v>40728</x:v>
      </x:c>
      <x:c r="B399" s="23" t="n">
        <x:v>31</x:v>
      </x:c>
      <x:c r="C399" s="23" t="str">
        <x:v>84879</x:v>
      </x:c>
      <x:c r="D399" s="23" t="str">
        <x:v>ASSORTED COLOUR BIRD ORNAMENT</x:v>
      </x:c>
      <x:c r="E399" s="34" t="n">
        <x:v>460</x:v>
      </x:c>
      <x:c r="F399" s="55" t="n">
        <x:v>788.84</x:v>
      </x:c>
      <x:c r="G399" s="58" t="n">
        <x:f>E398</x:f>
        <x:v>292</x:v>
      </x:c>
      <x:c r="H399" s="58" t="n">
        <x:f>AVERAGE(E395:E398)</x:f>
        <x:v>325</x:v>
      </x:c>
      <x:c r="I399" s="58" t="n">
        <x:f>AVERAGE(E391:E398)</x:f>
        <x:v>505.625</x:v>
      </x:c>
      <x:c r="J399" s="58" t="n">
        <x:f>IF(G399="","",ABS(E399-G399))</x:f>
        <x:v>168</x:v>
      </x:c>
      <x:c r="K399" s="58" t="n">
        <x:f>IF(H399="","",ABS(E399-H399))</x:f>
        <x:v>135</x:v>
      </x:c>
      <x:c r="L399" s="58" t="n">
        <x:f>IF(I399="","",ABS(E399-I399))</x:f>
        <x:v>45.625</x:v>
      </x:c>
      <x:c r="M399" s="23" t="str">
        <x:f>IF(B399&gt;44,"Validation","Training")</x:f>
        <x:v>Training</x:v>
      </x:c>
      <x:c r="N399" s="61" t="n">
        <x:f>IF(OR(H399="",E399=0),"",K399/E399)</x:f>
        <x:v>0.29347826086956524</x:v>
      </x:c>
    </x:row>
    <x:row r="400">
      <x:c r="A400" s="28" t="n">
        <x:v>40735</x:v>
      </x:c>
      <x:c r="B400" s="23" t="n">
        <x:v>32</x:v>
      </x:c>
      <x:c r="C400" s="23" t="str">
        <x:v>84879</x:v>
      </x:c>
      <x:c r="D400" s="23" t="str">
        <x:v>ASSORTED COLOUR BIRD ORNAMENT</x:v>
      </x:c>
      <x:c r="E400" s="34" t="n">
        <x:v>372</x:v>
      </x:c>
      <x:c r="F400" s="55" t="n">
        <x:v>628.68</x:v>
      </x:c>
      <x:c r="G400" s="58" t="n">
        <x:f>E399</x:f>
        <x:v>460</x:v>
      </x:c>
      <x:c r="H400" s="58" t="n">
        <x:f>AVERAGE(E396:E399)</x:f>
        <x:v>367</x:v>
      </x:c>
      <x:c r="I400" s="58" t="n">
        <x:f>AVERAGE(E392:E399)</x:f>
        <x:v>413</x:v>
      </x:c>
      <x:c r="J400" s="58" t="n">
        <x:f>IF(G400="","",ABS(E400-G400))</x:f>
        <x:v>88</x:v>
      </x:c>
      <x:c r="K400" s="58" t="n">
        <x:f>IF(H400="","",ABS(E400-H400))</x:f>
        <x:v>5</x:v>
      </x:c>
      <x:c r="L400" s="58" t="n">
        <x:f>IF(I400="","",ABS(E400-I400))</x:f>
        <x:v>41</x:v>
      </x:c>
      <x:c r="M400" s="23" t="str">
        <x:f>IF(B400&gt;44,"Validation","Training")</x:f>
        <x:v>Training</x:v>
      </x:c>
      <x:c r="N400" s="61" t="n">
        <x:f>IF(OR(H400="",E400=0),"",K400/E400)</x:f>
        <x:v>0.013440860215053764</x:v>
      </x:c>
    </x:row>
    <x:row r="401">
      <x:c r="A401" s="28" t="n">
        <x:v>40742</x:v>
      </x:c>
      <x:c r="B401" s="23" t="n">
        <x:v>33</x:v>
      </x:c>
      <x:c r="C401" s="23" t="str">
        <x:v>84879</x:v>
      </x:c>
      <x:c r="D401" s="23" t="str">
        <x:v>ASSORTED COLOUR BIRD ORNAMENT</x:v>
      </x:c>
      <x:c r="E401" s="34" t="n">
        <x:v>519</x:v>
      </x:c>
      <x:c r="F401" s="55" t="n">
        <x:v>877.11</x:v>
      </x:c>
      <x:c r="G401" s="58" t="n">
        <x:f>E400</x:f>
        <x:v>372</x:v>
      </x:c>
      <x:c r="H401" s="58" t="n">
        <x:f>AVERAGE(E397:E400)</x:f>
        <x:v>348.5</x:v>
      </x:c>
      <x:c r="I401" s="58" t="n">
        <x:f>AVERAGE(E393:E400)</x:f>
        <x:v>385.125</x:v>
      </x:c>
      <x:c r="J401" s="58" t="n">
        <x:f>IF(G401="","",ABS(E401-G401))</x:f>
        <x:v>147</x:v>
      </x:c>
      <x:c r="K401" s="58" t="n">
        <x:f>IF(H401="","",ABS(E401-H401))</x:f>
        <x:v>170.5</x:v>
      </x:c>
      <x:c r="L401" s="58" t="n">
        <x:f>IF(I401="","",ABS(E401-I401))</x:f>
        <x:v>133.875</x:v>
      </x:c>
      <x:c r="M401" s="23" t="str">
        <x:f>IF(B401&gt;44,"Validation","Training")</x:f>
        <x:v>Training</x:v>
      </x:c>
      <x:c r="N401" s="61" t="n">
        <x:f>IF(OR(H401="",E401=0),"",K401/E401)</x:f>
        <x:v>0.3285163776493256</x:v>
      </x:c>
    </x:row>
    <x:row r="402">
      <x:c r="A402" s="28" t="n">
        <x:v>40749</x:v>
      </x:c>
      <x:c r="B402" s="23" t="n">
        <x:v>34</x:v>
      </x:c>
      <x:c r="C402" s="23" t="str">
        <x:v>84879</x:v>
      </x:c>
      <x:c r="D402" s="23" t="str">
        <x:v>ASSORTED COLOUR BIRD ORNAMENT</x:v>
      </x:c>
      <x:c r="E402" s="34" t="n">
        <x:v>478</x:v>
      </x:c>
      <x:c r="F402" s="55" t="n">
        <x:v>807.82</x:v>
      </x:c>
      <x:c r="G402" s="58" t="n">
        <x:f>E401</x:f>
        <x:v>519</x:v>
      </x:c>
      <x:c r="H402" s="58" t="n">
        <x:f>AVERAGE(E398:E401)</x:f>
        <x:v>410.75</x:v>
      </x:c>
      <x:c r="I402" s="58" t="n">
        <x:f>AVERAGE(E394:E401)</x:f>
        <x:v>379.375</x:v>
      </x:c>
      <x:c r="J402" s="58" t="n">
        <x:f>IF(G402="","",ABS(E402-G402))</x:f>
        <x:v>41</x:v>
      </x:c>
      <x:c r="K402" s="58" t="n">
        <x:f>IF(H402="","",ABS(E402-H402))</x:f>
        <x:v>67.25</x:v>
      </x:c>
      <x:c r="L402" s="58" t="n">
        <x:f>IF(I402="","",ABS(E402-I402))</x:f>
        <x:v>98.625</x:v>
      </x:c>
      <x:c r="M402" s="23" t="str">
        <x:f>IF(B402&gt;44,"Validation","Training")</x:f>
        <x:v>Training</x:v>
      </x:c>
      <x:c r="N402" s="61" t="n">
        <x:f>IF(OR(H402="",E402=0),"",K402/E402)</x:f>
        <x:v>0.14069037656903766</x:v>
      </x:c>
    </x:row>
    <x:row r="403">
      <x:c r="A403" s="28" t="n">
        <x:v>40756</x:v>
      </x:c>
      <x:c r="B403" s="23" t="n">
        <x:v>35</x:v>
      </x:c>
      <x:c r="C403" s="23" t="str">
        <x:v>84879</x:v>
      </x:c>
      <x:c r="D403" s="23" t="str">
        <x:v>ASSORTED COLOUR BIRD ORNAMENT</x:v>
      </x:c>
      <x:c r="E403" s="34" t="n">
        <x:v>3800</x:v>
      </x:c>
      <x:c r="F403" s="55" t="n">
        <x:v>5615.6</x:v>
      </x:c>
      <x:c r="G403" s="58" t="n">
        <x:f>E402</x:f>
        <x:v>478</x:v>
      </x:c>
      <x:c r="H403" s="58" t="n">
        <x:f>AVERAGE(E399:E402)</x:f>
        <x:v>457.25</x:v>
      </x:c>
      <x:c r="I403" s="58" t="n">
        <x:f>AVERAGE(E395:E402)</x:f>
        <x:v>391.125</x:v>
      </x:c>
      <x:c r="J403" s="58" t="n">
        <x:f>IF(G403="","",ABS(E403-G403))</x:f>
        <x:v>3322</x:v>
      </x:c>
      <x:c r="K403" s="58" t="n">
        <x:f>IF(H403="","",ABS(E403-H403))</x:f>
        <x:v>3342.75</x:v>
      </x:c>
      <x:c r="L403" s="58" t="n">
        <x:f>IF(I403="","",ABS(E403-I403))</x:f>
        <x:v>3408.875</x:v>
      </x:c>
      <x:c r="M403" s="23" t="str">
        <x:f>IF(B403&gt;44,"Validation","Training")</x:f>
        <x:v>Training</x:v>
      </x:c>
      <x:c r="N403" s="61" t="n">
        <x:f>IF(OR(H403="",E403=0),"",K403/E403)</x:f>
        <x:v>0.879671052631579</x:v>
      </x:c>
    </x:row>
    <x:row r="404">
      <x:c r="A404" s="28" t="n">
        <x:v>40763</x:v>
      </x:c>
      <x:c r="B404" s="23" t="n">
        <x:v>36</x:v>
      </x:c>
      <x:c r="C404" s="23" t="str">
        <x:v>84879</x:v>
      </x:c>
      <x:c r="D404" s="23" t="str">
        <x:v>ASSORTED COLOUR BIRD ORNAMENT</x:v>
      </x:c>
      <x:c r="E404" s="34" t="n">
        <x:v>1323</x:v>
      </x:c>
      <x:c r="F404" s="55" t="n">
        <x:v>2003.55</x:v>
      </x:c>
      <x:c r="G404" s="58" t="n">
        <x:f>E403</x:f>
        <x:v>3800</x:v>
      </x:c>
      <x:c r="H404" s="58" t="n">
        <x:f>AVERAGE(E400:E403)</x:f>
        <x:v>1292.25</x:v>
      </x:c>
      <x:c r="I404" s="58" t="n">
        <x:f>AVERAGE(E396:E403)</x:f>
        <x:v>829.625</x:v>
      </x:c>
      <x:c r="J404" s="58" t="n">
        <x:f>IF(G404="","",ABS(E404-G404))</x:f>
        <x:v>2477</x:v>
      </x:c>
      <x:c r="K404" s="58" t="n">
        <x:f>IF(H404="","",ABS(E404-H404))</x:f>
        <x:v>30.75</x:v>
      </x:c>
      <x:c r="L404" s="58" t="n">
        <x:f>IF(I404="","",ABS(E404-I404))</x:f>
        <x:v>493.375</x:v>
      </x:c>
      <x:c r="M404" s="23" t="str">
        <x:f>IF(B404&gt;44,"Validation","Training")</x:f>
        <x:v>Training</x:v>
      </x:c>
      <x:c r="N404" s="61" t="n">
        <x:f>IF(OR(H404="",E404=0),"",K404/E404)</x:f>
        <x:v>0.023242630385487528</x:v>
      </x:c>
    </x:row>
    <x:row r="405">
      <x:c r="A405" s="28" t="n">
        <x:v>40770</x:v>
      </x:c>
      <x:c r="B405" s="23" t="n">
        <x:v>37</x:v>
      </x:c>
      <x:c r="C405" s="23" t="str">
        <x:v>84879</x:v>
      </x:c>
      <x:c r="D405" s="23" t="str">
        <x:v>ASSORTED COLOUR BIRD ORNAMENT</x:v>
      </x:c>
      <x:c r="E405" s="34" t="n">
        <x:v>556</x:v>
      </x:c>
      <x:c r="F405" s="55" t="n">
        <x:v>901.24</x:v>
      </x:c>
      <x:c r="G405" s="58" t="n">
        <x:f>E404</x:f>
        <x:v>1323</x:v>
      </x:c>
      <x:c r="H405" s="58" t="n">
        <x:f>AVERAGE(E401:E404)</x:f>
        <x:v>1530</x:v>
      </x:c>
      <x:c r="I405" s="58" t="n">
        <x:f>AVERAGE(E397:E404)</x:f>
        <x:v>939.25</x:v>
      </x:c>
      <x:c r="J405" s="58" t="n">
        <x:f>IF(G405="","",ABS(E405-G405))</x:f>
        <x:v>767</x:v>
      </x:c>
      <x:c r="K405" s="58" t="n">
        <x:f>IF(H405="","",ABS(E405-H405))</x:f>
        <x:v>974</x:v>
      </x:c>
      <x:c r="L405" s="58" t="n">
        <x:f>IF(I405="","",ABS(E405-I405))</x:f>
        <x:v>383.25</x:v>
      </x:c>
      <x:c r="M405" s="23" t="str">
        <x:f>IF(B405&gt;44,"Validation","Training")</x:f>
        <x:v>Training</x:v>
      </x:c>
      <x:c r="N405" s="61" t="n">
        <x:f>IF(OR(H405="",E405=0),"",K405/E405)</x:f>
        <x:v>1.7517985611510791</x:v>
      </x:c>
    </x:row>
    <x:row r="406">
      <x:c r="A406" s="28" t="n">
        <x:v>40777</x:v>
      </x:c>
      <x:c r="B406" s="23" t="n">
        <x:v>38</x:v>
      </x:c>
      <x:c r="C406" s="23" t="str">
        <x:v>84879</x:v>
      </x:c>
      <x:c r="D406" s="23" t="str">
        <x:v>ASSORTED COLOUR BIRD ORNAMENT</x:v>
      </x:c>
      <x:c r="E406" s="34" t="n">
        <x:v>850</x:v>
      </x:c>
      <x:c r="F406" s="55" t="n">
        <x:v>1321.3</x:v>
      </x:c>
      <x:c r="G406" s="58" t="n">
        <x:f>E405</x:f>
        <x:v>556</x:v>
      </x:c>
      <x:c r="H406" s="58" t="n">
        <x:f>AVERAGE(E402:E405)</x:f>
        <x:v>1539.25</x:v>
      </x:c>
      <x:c r="I406" s="58" t="n">
        <x:f>AVERAGE(E398:E405)</x:f>
        <x:v>975</x:v>
      </x:c>
      <x:c r="J406" s="58" t="n">
        <x:f>IF(G406="","",ABS(E406-G406))</x:f>
        <x:v>294</x:v>
      </x:c>
      <x:c r="K406" s="58" t="n">
        <x:f>IF(H406="","",ABS(E406-H406))</x:f>
        <x:v>689.25</x:v>
      </x:c>
      <x:c r="L406" s="58" t="n">
        <x:f>IF(I406="","",ABS(E406-I406))</x:f>
        <x:v>125</x:v>
      </x:c>
      <x:c r="M406" s="23" t="str">
        <x:f>IF(B406&gt;44,"Validation","Training")</x:f>
        <x:v>Training</x:v>
      </x:c>
      <x:c r="N406" s="61" t="n">
        <x:f>IF(OR(H406="",E406=0),"",K406/E406)</x:f>
        <x:v>0.8108823529411765</x:v>
      </x:c>
    </x:row>
    <x:row r="407">
      <x:c r="A407" s="28" t="n">
        <x:v>40784</x:v>
      </x:c>
      <x:c r="B407" s="23" t="n">
        <x:v>39</x:v>
      </x:c>
      <x:c r="C407" s="23" t="str">
        <x:v>84879</x:v>
      </x:c>
      <x:c r="D407" s="23" t="str">
        <x:v>ASSORTED COLOUR BIRD ORNAMENT</x:v>
      </x:c>
      <x:c r="E407" s="34" t="n">
        <x:v>216</x:v>
      </x:c>
      <x:c r="F407" s="55" t="n">
        <x:v>376.48</x:v>
      </x:c>
      <x:c r="G407" s="58" t="n">
        <x:f>E406</x:f>
        <x:v>850</x:v>
      </x:c>
      <x:c r="H407" s="58" t="n">
        <x:f>AVERAGE(E403:E406)</x:f>
        <x:v>1632.25</x:v>
      </x:c>
      <x:c r="I407" s="58" t="n">
        <x:f>AVERAGE(E399:E406)</x:f>
        <x:v>1044.75</x:v>
      </x:c>
      <x:c r="J407" s="58" t="n">
        <x:f>IF(G407="","",ABS(E407-G407))</x:f>
        <x:v>634</x:v>
      </x:c>
      <x:c r="K407" s="58" t="n">
        <x:f>IF(H407="","",ABS(E407-H407))</x:f>
        <x:v>1416.25</x:v>
      </x:c>
      <x:c r="L407" s="58" t="n">
        <x:f>IF(I407="","",ABS(E407-I407))</x:f>
        <x:v>828.75</x:v>
      </x:c>
      <x:c r="M407" s="23" t="str">
        <x:f>IF(B407&gt;44,"Validation","Training")</x:f>
        <x:v>Training</x:v>
      </x:c>
      <x:c r="N407" s="61" t="n">
        <x:f>IF(OR(H407="",E407=0),"",K407/E407)</x:f>
        <x:v>6.556712962962963</x:v>
      </x:c>
    </x:row>
    <x:row r="408">
      <x:c r="A408" s="28" t="n">
        <x:v>40791</x:v>
      </x:c>
      <x:c r="B408" s="23" t="n">
        <x:v>40</x:v>
      </x:c>
      <x:c r="C408" s="23" t="str">
        <x:v>84879</x:v>
      </x:c>
      <x:c r="D408" s="23" t="str">
        <x:v>ASSORTED COLOUR BIRD ORNAMENT</x:v>
      </x:c>
      <x:c r="E408" s="34" t="n">
        <x:v>488</x:v>
      </x:c>
      <x:c r="F408" s="55" t="n">
        <x:v>824.72</x:v>
      </x:c>
      <x:c r="G408" s="58" t="n">
        <x:f>E407</x:f>
        <x:v>216</x:v>
      </x:c>
      <x:c r="H408" s="58" t="n">
        <x:f>AVERAGE(E404:E407)</x:f>
        <x:v>736.25</x:v>
      </x:c>
      <x:c r="I408" s="58" t="n">
        <x:f>AVERAGE(E400:E407)</x:f>
        <x:v>1014.25</x:v>
      </x:c>
      <x:c r="J408" s="58" t="n">
        <x:f>IF(G408="","",ABS(E408-G408))</x:f>
        <x:v>272</x:v>
      </x:c>
      <x:c r="K408" s="58" t="n">
        <x:f>IF(H408="","",ABS(E408-H408))</x:f>
        <x:v>248.25</x:v>
      </x:c>
      <x:c r="L408" s="58" t="n">
        <x:f>IF(I408="","",ABS(E408-I408))</x:f>
        <x:v>526.25</x:v>
      </x:c>
      <x:c r="M408" s="23" t="str">
        <x:f>IF(B408&gt;44,"Validation","Training")</x:f>
        <x:v>Training</x:v>
      </x:c>
      <x:c r="N408" s="61" t="n">
        <x:f>IF(OR(H408="",E408=0),"",K408/E408)</x:f>
        <x:v>0.5087090163934426</x:v>
      </x:c>
    </x:row>
    <x:row r="409">
      <x:c r="A409" s="28" t="n">
        <x:v>40798</x:v>
      </x:c>
      <x:c r="B409" s="23" t="n">
        <x:v>41</x:v>
      </x:c>
      <x:c r="C409" s="23" t="str">
        <x:v>84879</x:v>
      </x:c>
      <x:c r="D409" s="23" t="str">
        <x:v>ASSORTED COLOUR BIRD ORNAMENT</x:v>
      </x:c>
      <x:c r="E409" s="34" t="n">
        <x:v>908</x:v>
      </x:c>
      <x:c r="F409" s="55" t="n">
        <x:v>1430.76</x:v>
      </x:c>
      <x:c r="G409" s="58" t="n">
        <x:f>E408</x:f>
        <x:v>488</x:v>
      </x:c>
      <x:c r="H409" s="58" t="n">
        <x:f>AVERAGE(E405:E408)</x:f>
        <x:v>527.5</x:v>
      </x:c>
      <x:c r="I409" s="58" t="n">
        <x:f>AVERAGE(E401:E408)</x:f>
        <x:v>1028.75</x:v>
      </x:c>
      <x:c r="J409" s="58" t="n">
        <x:f>IF(G409="","",ABS(E409-G409))</x:f>
        <x:v>420</x:v>
      </x:c>
      <x:c r="K409" s="58" t="n">
        <x:f>IF(H409="","",ABS(E409-H409))</x:f>
        <x:v>380.5</x:v>
      </x:c>
      <x:c r="L409" s="58" t="n">
        <x:f>IF(I409="","",ABS(E409-I409))</x:f>
        <x:v>120.75</x:v>
      </x:c>
      <x:c r="M409" s="23" t="str">
        <x:f>IF(B409&gt;44,"Validation","Training")</x:f>
        <x:v>Training</x:v>
      </x:c>
      <x:c r="N409" s="61" t="n">
        <x:f>IF(OR(H409="",E409=0),"",K409/E409)</x:f>
        <x:v>0.41905286343612336</x:v>
      </x:c>
    </x:row>
    <x:row r="410">
      <x:c r="A410" s="28" t="n">
        <x:v>40805</x:v>
      </x:c>
      <x:c r="B410" s="23" t="n">
        <x:v>42</x:v>
      </x:c>
      <x:c r="C410" s="23" t="str">
        <x:v>84879</x:v>
      </x:c>
      <x:c r="D410" s="23" t="str">
        <x:v>ASSORTED COLOUR BIRD ORNAMENT</x:v>
      </x:c>
      <x:c r="E410" s="34" t="n">
        <x:v>701</x:v>
      </x:c>
      <x:c r="F410" s="55" t="n">
        <x:v>1157.73</x:v>
      </x:c>
      <x:c r="G410" s="58" t="n">
        <x:f>E409</x:f>
        <x:v>908</x:v>
      </x:c>
      <x:c r="H410" s="58" t="n">
        <x:f>AVERAGE(E406:E409)</x:f>
        <x:v>615.5</x:v>
      </x:c>
      <x:c r="I410" s="58" t="n">
        <x:f>AVERAGE(E402:E409)</x:f>
        <x:v>1077.375</x:v>
      </x:c>
      <x:c r="J410" s="58" t="n">
        <x:f>IF(G410="","",ABS(E410-G410))</x:f>
        <x:v>207</x:v>
      </x:c>
      <x:c r="K410" s="58" t="n">
        <x:f>IF(H410="","",ABS(E410-H410))</x:f>
        <x:v>85.5</x:v>
      </x:c>
      <x:c r="L410" s="58" t="n">
        <x:f>IF(I410="","",ABS(E410-I410))</x:f>
        <x:v>376.375</x:v>
      </x:c>
      <x:c r="M410" s="23" t="str">
        <x:f>IF(B410&gt;44,"Validation","Training")</x:f>
        <x:v>Training</x:v>
      </x:c>
      <x:c r="N410" s="61" t="n">
        <x:f>IF(OR(H410="",E410=0),"",K410/E410)</x:f>
        <x:v>0.12196861626248216</x:v>
      </x:c>
    </x:row>
    <x:row r="411">
      <x:c r="A411" s="28" t="n">
        <x:v>40812</x:v>
      </x:c>
      <x:c r="B411" s="23" t="n">
        <x:v>43</x:v>
      </x:c>
      <x:c r="C411" s="23" t="str">
        <x:v>84879</x:v>
      </x:c>
      <x:c r="D411" s="23" t="str">
        <x:v>ASSORTED COLOUR BIRD ORNAMENT</x:v>
      </x:c>
      <x:c r="E411" s="34" t="n">
        <x:v>799</x:v>
      </x:c>
      <x:c r="F411" s="55" t="n">
        <x:v>1284.95</x:v>
      </x:c>
      <x:c r="G411" s="58" t="n">
        <x:f>E410</x:f>
        <x:v>701</x:v>
      </x:c>
      <x:c r="H411" s="58" t="n">
        <x:f>AVERAGE(E407:E410)</x:f>
        <x:v>578.25</x:v>
      </x:c>
      <x:c r="I411" s="58" t="n">
        <x:f>AVERAGE(E403:E410)</x:f>
        <x:v>1105.25</x:v>
      </x:c>
      <x:c r="J411" s="58" t="n">
        <x:f>IF(G411="","",ABS(E411-G411))</x:f>
        <x:v>98</x:v>
      </x:c>
      <x:c r="K411" s="58" t="n">
        <x:f>IF(H411="","",ABS(E411-H411))</x:f>
        <x:v>220.75</x:v>
      </x:c>
      <x:c r="L411" s="58" t="n">
        <x:f>IF(I411="","",ABS(E411-I411))</x:f>
        <x:v>306.25</x:v>
      </x:c>
      <x:c r="M411" s="23" t="str">
        <x:f>IF(B411&gt;44,"Validation","Training")</x:f>
        <x:v>Training</x:v>
      </x:c>
      <x:c r="N411" s="61" t="n">
        <x:f>IF(OR(H411="",E411=0),"",K411/E411)</x:f>
        <x:v>0.2762828535669587</x:v>
      </x:c>
    </x:row>
    <x:row r="412">
      <x:c r="A412" s="28" t="n">
        <x:v>40819</x:v>
      </x:c>
      <x:c r="B412" s="23" t="n">
        <x:v>44</x:v>
      </x:c>
      <x:c r="C412" s="23" t="str">
        <x:v>84879</x:v>
      </x:c>
      <x:c r="D412" s="23" t="str">
        <x:v>ASSORTED COLOUR BIRD ORNAMENT</x:v>
      </x:c>
      <x:c r="E412" s="34" t="n">
        <x:v>589</x:v>
      </x:c>
      <x:c r="F412" s="55" t="n">
        <x:v>995.41</x:v>
      </x:c>
      <x:c r="G412" s="58" t="n">
        <x:f>E411</x:f>
        <x:v>799</x:v>
      </x:c>
      <x:c r="H412" s="58" t="n">
        <x:f>AVERAGE(E408:E411)</x:f>
        <x:v>724</x:v>
      </x:c>
      <x:c r="I412" s="58" t="n">
        <x:f>AVERAGE(E404:E411)</x:f>
        <x:v>730.125</x:v>
      </x:c>
      <x:c r="J412" s="58" t="n">
        <x:f>IF(G412="","",ABS(E412-G412))</x:f>
        <x:v>210</x:v>
      </x:c>
      <x:c r="K412" s="58" t="n">
        <x:f>IF(H412="","",ABS(E412-H412))</x:f>
        <x:v>135</x:v>
      </x:c>
      <x:c r="L412" s="58" t="n">
        <x:f>IF(I412="","",ABS(E412-I412))</x:f>
        <x:v>141.125</x:v>
      </x:c>
      <x:c r="M412" s="23" t="str">
        <x:f>IF(B412&gt;44,"Validation","Training")</x:f>
        <x:v>Training</x:v>
      </x:c>
      <x:c r="N412" s="61" t="n">
        <x:f>IF(OR(H412="",E412=0),"",K412/E412)</x:f>
        <x:v>0.22920203735144312</x:v>
      </x:c>
    </x:row>
    <x:row r="413">
      <x:c r="A413" s="28" t="n">
        <x:v>40826</x:v>
      </x:c>
      <x:c r="B413" s="23" t="n">
        <x:v>45</x:v>
      </x:c>
      <x:c r="C413" s="23" t="str">
        <x:v>84879</x:v>
      </x:c>
      <x:c r="D413" s="23" t="str">
        <x:v>ASSORTED COLOUR BIRD ORNAMENT</x:v>
      </x:c>
      <x:c r="E413" s="34" t="n">
        <x:v>420</x:v>
      </x:c>
      <x:c r="F413" s="55" t="n">
        <x:v>709.8</x:v>
      </x:c>
      <x:c r="G413" s="58" t="n">
        <x:f>E412</x:f>
        <x:v>589</x:v>
      </x:c>
      <x:c r="H413" s="58" t="n">
        <x:f>AVERAGE(E409:E412)</x:f>
        <x:v>749.25</x:v>
      </x:c>
      <x:c r="I413" s="58" t="n">
        <x:f>AVERAGE(E405:E412)</x:f>
        <x:v>638.375</x:v>
      </x:c>
      <x:c r="J413" s="58" t="n">
        <x:f>IF(G413="","",ABS(E413-G413))</x:f>
        <x:v>169</x:v>
      </x:c>
      <x:c r="K413" s="58" t="n">
        <x:f>IF(H413="","",ABS(E413-H413))</x:f>
        <x:v>329.25</x:v>
      </x:c>
      <x:c r="L413" s="58" t="n">
        <x:f>IF(I413="","",ABS(E413-I413))</x:f>
        <x:v>218.375</x:v>
      </x:c>
      <x:c r="M413" s="23" t="str">
        <x:f>IF(B413&gt;44,"Validation","Training")</x:f>
        <x:v>Validation</x:v>
      </x:c>
      <x:c r="N413" s="61" t="n">
        <x:f>IF(OR(H413="",E413=0),"",K413/E413)</x:f>
        <x:v>0.7839285714285714</x:v>
      </x:c>
    </x:row>
    <x:row r="414">
      <x:c r="A414" s="28" t="n">
        <x:v>40833</x:v>
      </x:c>
      <x:c r="B414" s="23" t="n">
        <x:v>46</x:v>
      </x:c>
      <x:c r="C414" s="23" t="str">
        <x:v>84879</x:v>
      </x:c>
      <x:c r="D414" s="23" t="str">
        <x:v>ASSORTED COLOUR BIRD ORNAMENT</x:v>
      </x:c>
      <x:c r="E414" s="34" t="n">
        <x:v>829</x:v>
      </x:c>
      <x:c r="F414" s="55" t="n">
        <x:v>1324.21</x:v>
      </x:c>
      <x:c r="G414" s="58" t="n">
        <x:f>E413</x:f>
        <x:v>420</x:v>
      </x:c>
      <x:c r="H414" s="58" t="n">
        <x:f>AVERAGE(E410:E413)</x:f>
        <x:v>627.25</x:v>
      </x:c>
      <x:c r="I414" s="58" t="n">
        <x:f>AVERAGE(E406:E413)</x:f>
        <x:v>621.375</x:v>
      </x:c>
      <x:c r="J414" s="58" t="n">
        <x:f>IF(G414="","",ABS(E414-G414))</x:f>
        <x:v>409</x:v>
      </x:c>
      <x:c r="K414" s="58" t="n">
        <x:f>IF(H414="","",ABS(E414-H414))</x:f>
        <x:v>201.75</x:v>
      </x:c>
      <x:c r="L414" s="58" t="n">
        <x:f>IF(I414="","",ABS(E414-I414))</x:f>
        <x:v>207.625</x:v>
      </x:c>
      <x:c r="M414" s="23" t="str">
        <x:f>IF(B414&gt;44,"Validation","Training")</x:f>
        <x:v>Validation</x:v>
      </x:c>
      <x:c r="N414" s="61" t="n">
        <x:f>IF(OR(H414="",E414=0),"",K414/E414)</x:f>
        <x:v>0.2433655006031363</x:v>
      </x:c>
    </x:row>
    <x:row r="415">
      <x:c r="A415" s="28" t="n">
        <x:v>40840</x:v>
      </x:c>
      <x:c r="B415" s="23" t="n">
        <x:v>47</x:v>
      </x:c>
      <x:c r="C415" s="23" t="str">
        <x:v>84879</x:v>
      </x:c>
      <x:c r="D415" s="23" t="str">
        <x:v>ASSORTED COLOUR BIRD ORNAMENT</x:v>
      </x:c>
      <x:c r="E415" s="34" t="n">
        <x:v>778</x:v>
      </x:c>
      <x:c r="F415" s="55" t="n">
        <x:v>1402.26</x:v>
      </x:c>
      <x:c r="G415" s="58" t="n">
        <x:f>E414</x:f>
        <x:v>829</x:v>
      </x:c>
      <x:c r="H415" s="58" t="n">
        <x:f>AVERAGE(E411:E414)</x:f>
        <x:v>659.25</x:v>
      </x:c>
      <x:c r="I415" s="58" t="n">
        <x:f>AVERAGE(E407:E414)</x:f>
        <x:v>618.75</x:v>
      </x:c>
      <x:c r="J415" s="58" t="n">
        <x:f>IF(G415="","",ABS(E415-G415))</x:f>
        <x:v>51</x:v>
      </x:c>
      <x:c r="K415" s="58" t="n">
        <x:f>IF(H415="","",ABS(E415-H415))</x:f>
        <x:v>118.75</x:v>
      </x:c>
      <x:c r="L415" s="58" t="n">
        <x:f>IF(I415="","",ABS(E415-I415))</x:f>
        <x:v>159.25</x:v>
      </x:c>
      <x:c r="M415" s="23" t="str">
        <x:f>IF(B415&gt;44,"Validation","Training")</x:f>
        <x:v>Validation</x:v>
      </x:c>
      <x:c r="N415" s="61" t="n">
        <x:f>IF(OR(H415="",E415=0),"",K415/E415)</x:f>
        <x:v>0.15263496143958868</x:v>
      </x:c>
    </x:row>
    <x:row r="416">
      <x:c r="A416" s="28" t="n">
        <x:v>40847</x:v>
      </x:c>
      <x:c r="B416" s="23" t="n">
        <x:v>48</x:v>
      </x:c>
      <x:c r="C416" s="23" t="str">
        <x:v>84879</x:v>
      </x:c>
      <x:c r="D416" s="23" t="str">
        <x:v>ASSORTED COLOUR BIRD ORNAMENT</x:v>
      </x:c>
      <x:c r="E416" s="34" t="n">
        <x:v>968</x:v>
      </x:c>
      <x:c r="F416" s="55" t="n">
        <x:v>1608.96</x:v>
      </x:c>
      <x:c r="G416" s="58" t="n">
        <x:f>E415</x:f>
        <x:v>778</x:v>
      </x:c>
      <x:c r="H416" s="58" t="n">
        <x:f>AVERAGE(E412:E415)</x:f>
        <x:v>654</x:v>
      </x:c>
      <x:c r="I416" s="58" t="n">
        <x:f>AVERAGE(E408:E415)</x:f>
        <x:v>689</x:v>
      </x:c>
      <x:c r="J416" s="58" t="n">
        <x:f>IF(G416="","",ABS(E416-G416))</x:f>
        <x:v>190</x:v>
      </x:c>
      <x:c r="K416" s="58" t="n">
        <x:f>IF(H416="","",ABS(E416-H416))</x:f>
        <x:v>314</x:v>
      </x:c>
      <x:c r="L416" s="58" t="n">
        <x:f>IF(I416="","",ABS(E416-I416))</x:f>
        <x:v>279</x:v>
      </x:c>
      <x:c r="M416" s="23" t="str">
        <x:f>IF(B416&gt;44,"Validation","Training")</x:f>
        <x:v>Validation</x:v>
      </x:c>
      <x:c r="N416" s="61" t="n">
        <x:f>IF(OR(H416="",E416=0),"",K416/E416)</x:f>
        <x:v>0.3243801652892562</x:v>
      </x:c>
    </x:row>
    <x:row r="417">
      <x:c r="A417" s="28" t="n">
        <x:v>40854</x:v>
      </x:c>
      <x:c r="B417" s="23" t="n">
        <x:v>49</x:v>
      </x:c>
      <x:c r="C417" s="23" t="str">
        <x:v>84879</x:v>
      </x:c>
      <x:c r="D417" s="23" t="str">
        <x:v>ASSORTED COLOUR BIRD ORNAMENT</x:v>
      </x:c>
      <x:c r="E417" s="34" t="n">
        <x:v>1748</x:v>
      </x:c>
      <x:c r="F417" s="55" t="n">
        <x:v>2689</x:v>
      </x:c>
      <x:c r="G417" s="58" t="n">
        <x:f>E416</x:f>
        <x:v>968</x:v>
      </x:c>
      <x:c r="H417" s="58" t="n">
        <x:f>AVERAGE(E413:E416)</x:f>
        <x:v>748.75</x:v>
      </x:c>
      <x:c r="I417" s="58" t="n">
        <x:f>AVERAGE(E409:E416)</x:f>
        <x:v>749</x:v>
      </x:c>
      <x:c r="J417" s="58" t="n">
        <x:f>IF(G417="","",ABS(E417-G417))</x:f>
        <x:v>780</x:v>
      </x:c>
      <x:c r="K417" s="58" t="n">
        <x:f>IF(H417="","",ABS(E417-H417))</x:f>
        <x:v>999.25</x:v>
      </x:c>
      <x:c r="L417" s="58" t="n">
        <x:f>IF(I417="","",ABS(E417-I417))</x:f>
        <x:v>999</x:v>
      </x:c>
      <x:c r="M417" s="23" t="str">
        <x:f>IF(B417&gt;44,"Validation","Training")</x:f>
        <x:v>Validation</x:v>
      </x:c>
      <x:c r="N417" s="61" t="n">
        <x:f>IF(OR(H417="",E417=0),"",K417/E417)</x:f>
        <x:v>0.5716533180778032</x:v>
      </x:c>
    </x:row>
    <x:row r="418">
      <x:c r="A418" s="28" t="n">
        <x:v>40861</x:v>
      </x:c>
      <x:c r="B418" s="23" t="n">
        <x:v>50</x:v>
      </x:c>
      <x:c r="C418" s="23" t="str">
        <x:v>84879</x:v>
      </x:c>
      <x:c r="D418" s="23" t="str">
        <x:v>ASSORTED COLOUR BIRD ORNAMENT</x:v>
      </x:c>
      <x:c r="E418" s="34" t="n">
        <x:v>1326</x:v>
      </x:c>
      <x:c r="F418" s="55" t="n">
        <x:v>2125.74</x:v>
      </x:c>
      <x:c r="G418" s="58" t="n">
        <x:f>E417</x:f>
        <x:v>1748</x:v>
      </x:c>
      <x:c r="H418" s="58" t="n">
        <x:f>AVERAGE(E414:E417)</x:f>
        <x:v>1080.75</x:v>
      </x:c>
      <x:c r="I418" s="58" t="n">
        <x:f>AVERAGE(E410:E417)</x:f>
        <x:v>854</x:v>
      </x:c>
      <x:c r="J418" s="58" t="n">
        <x:f>IF(G418="","",ABS(E418-G418))</x:f>
        <x:v>422</x:v>
      </x:c>
      <x:c r="K418" s="58" t="n">
        <x:f>IF(H418="","",ABS(E418-H418))</x:f>
        <x:v>245.25</x:v>
      </x:c>
      <x:c r="L418" s="58" t="n">
        <x:f>IF(I418="","",ABS(E418-I418))</x:f>
        <x:v>472</x:v>
      </x:c>
      <x:c r="M418" s="23" t="str">
        <x:f>IF(B418&gt;44,"Validation","Training")</x:f>
        <x:v>Validation</x:v>
      </x:c>
      <x:c r="N418" s="61" t="n">
        <x:f>IF(OR(H418="",E418=0),"",K418/E418)</x:f>
        <x:v>0.18495475113122173</x:v>
      </x:c>
    </x:row>
    <x:row r="419">
      <x:c r="A419" s="28" t="n">
        <x:v>40868</x:v>
      </x:c>
      <x:c r="B419" s="23" t="n">
        <x:v>51</x:v>
      </x:c>
      <x:c r="C419" s="23" t="str">
        <x:v>84879</x:v>
      </x:c>
      <x:c r="D419" s="23" t="str">
        <x:v>ASSORTED COLOUR BIRD ORNAMENT</x:v>
      </x:c>
      <x:c r="E419" s="34" t="n">
        <x:v>1037</x:v>
      </x:c>
      <x:c r="F419" s="55" t="n">
        <x:v>1698.61</x:v>
      </x:c>
      <x:c r="G419" s="58" t="n">
        <x:f>E418</x:f>
        <x:v>1326</x:v>
      </x:c>
      <x:c r="H419" s="58" t="n">
        <x:f>AVERAGE(E415:E418)</x:f>
        <x:v>1205</x:v>
      </x:c>
      <x:c r="I419" s="58" t="n">
        <x:f>AVERAGE(E411:E418)</x:f>
        <x:v>932.125</x:v>
      </x:c>
      <x:c r="J419" s="58" t="n">
        <x:f>IF(G419="","",ABS(E419-G419))</x:f>
        <x:v>289</x:v>
      </x:c>
      <x:c r="K419" s="58" t="n">
        <x:f>IF(H419="","",ABS(E419-H419))</x:f>
        <x:v>168</x:v>
      </x:c>
      <x:c r="L419" s="58" t="n">
        <x:f>IF(I419="","",ABS(E419-I419))</x:f>
        <x:v>104.875</x:v>
      </x:c>
      <x:c r="M419" s="23" t="str">
        <x:f>IF(B419&gt;44,"Validation","Training")</x:f>
        <x:v>Validation</x:v>
      </x:c>
      <x:c r="N419" s="61" t="n">
        <x:f>IF(OR(H419="",E419=0),"",K419/E419)</x:f>
        <x:v>0.16200578592092574</x:v>
      </x:c>
    </x:row>
    <x:row r="420">
      <x:c r="A420" s="28" t="n">
        <x:v>40875</x:v>
      </x:c>
      <x:c r="B420" s="23" t="n">
        <x:v>52</x:v>
      </x:c>
      <x:c r="C420" s="23" t="str">
        <x:v>84879</x:v>
      </x:c>
      <x:c r="D420" s="23" t="str">
        <x:v>ASSORTED COLOUR BIRD ORNAMENT</x:v>
      </x:c>
      <x:c r="E420" s="34" t="n">
        <x:v>953</x:v>
      </x:c>
      <x:c r="F420" s="55" t="n">
        <x:v>1568.09</x:v>
      </x:c>
      <x:c r="G420" s="58" t="n">
        <x:f>E419</x:f>
        <x:v>1037</x:v>
      </x:c>
      <x:c r="H420" s="58" t="n">
        <x:f>AVERAGE(E416:E419)</x:f>
        <x:v>1269.75</x:v>
      </x:c>
      <x:c r="I420" s="58" t="n">
        <x:f>AVERAGE(E412:E419)</x:f>
        <x:v>961.875</x:v>
      </x:c>
      <x:c r="J420" s="58" t="n">
        <x:f>IF(G420="","",ABS(E420-G420))</x:f>
        <x:v>84</x:v>
      </x:c>
      <x:c r="K420" s="58" t="n">
        <x:f>IF(H420="","",ABS(E420-H420))</x:f>
        <x:v>316.75</x:v>
      </x:c>
      <x:c r="L420" s="58" t="n">
        <x:f>IF(I420="","",ABS(E420-I420))</x:f>
        <x:v>8.875</x:v>
      </x:c>
      <x:c r="M420" s="23" t="str">
        <x:f>IF(B420&gt;44,"Validation","Training")</x:f>
        <x:v>Validation</x:v>
      </x:c>
      <x:c r="N420" s="61" t="n">
        <x:f>IF(OR(H420="",E420=0),"",K420/E420)</x:f>
        <x:v>0.3323714585519412</x:v>
      </x:c>
    </x:row>
    <x:row r="421">
      <x:c r="A421" s="28" t="n">
        <x:v>40518</x:v>
      </x:c>
      <x:c r="B421" s="23" t="n">
        <x:v>1</x:v>
      </x:c>
      <x:c r="C421" s="23" t="str">
        <x:v>22502</x:v>
      </x:c>
      <x:c r="D421" s="23" t="str">
        <x:v>PICNIC BASKET WICKER 60 PIECES</x:v>
      </x:c>
      <x:c r="E421" s="34" t="n">
        <x:v>40</x:v>
      </x:c>
      <x:c r="F421" s="55" t="n">
        <x:v>285.88</x:v>
      </x:c>
      <x:c r="G421" s="58" t="str">
        <x:f>""</x:f>
      </x:c>
      <x:c r="H421" s="58" t="str">
        <x:f>""</x:f>
      </x:c>
      <x:c r="I421" s="58" t="str">
        <x:f>""</x:f>
      </x:c>
      <x:c r="J421" s="58" t="str">
        <x:f>IF(G421="","",ABS(E421-G421))</x:f>
      </x:c>
      <x:c r="K421" s="58" t="str">
        <x:f>IF(H421="","",ABS(E421-H421))</x:f>
      </x:c>
      <x:c r="L421" s="58" t="str">
        <x:f>IF(I421="","",ABS(E421-I421))</x:f>
      </x:c>
      <x:c r="M421" s="23" t="str">
        <x:f>IF(B421&gt;44,"Validation","Training")</x:f>
        <x:v>Training</x:v>
      </x:c>
      <x:c r="N421" s="61" t="str">
        <x:f>IF(OR(H421="",E421=0),"",K421/E421)</x:f>
      </x:c>
    </x:row>
    <x:row r="422">
      <x:c r="A422" s="28" t="n">
        <x:v>40525</x:v>
      </x:c>
      <x:c r="B422" s="23" t="n">
        <x:v>2</x:v>
      </x:c>
      <x:c r="C422" s="23" t="str">
        <x:v>22502</x:v>
      </x:c>
      <x:c r="D422" s="23" t="str">
        <x:v>PICNIC BASKET WICKER 60 PIECES</x:v>
      </x:c>
      <x:c r="E422" s="34" t="n">
        <x:v>59</x:v>
      </x:c>
      <x:c r="F422" s="55" t="n">
        <x:v>377.89</x:v>
      </x:c>
      <x:c r="G422" s="58" t="n">
        <x:f>E421</x:f>
        <x:v>40</x:v>
      </x:c>
      <x:c r="H422" s="58" t="str">
        <x:f>""</x:f>
      </x:c>
      <x:c r="I422" s="58" t="str">
        <x:f>""</x:f>
      </x:c>
      <x:c r="J422" s="58" t="n">
        <x:f>IF(G422="","",ABS(E422-G422))</x:f>
        <x:v>19</x:v>
      </x:c>
      <x:c r="K422" s="58" t="str">
        <x:f>IF(H422="","",ABS(E422-H422))</x:f>
      </x:c>
      <x:c r="L422" s="58" t="str">
        <x:f>IF(I422="","",ABS(E422-I422))</x:f>
      </x:c>
      <x:c r="M422" s="23" t="str">
        <x:f>IF(B422&gt;44,"Validation","Training")</x:f>
        <x:v>Training</x:v>
      </x:c>
      <x:c r="N422" s="61" t="str">
        <x:f>IF(OR(H422="",E422=0),"",K422/E422)</x:f>
      </x:c>
    </x:row>
    <x:row r="423">
      <x:c r="A423" s="28" t="n">
        <x:v>40532</x:v>
      </x:c>
      <x:c r="B423" s="23" t="n">
        <x:v>3</x:v>
      </x:c>
      <x:c r="C423" s="23" t="str">
        <x:v>22502</x:v>
      </x:c>
      <x:c r="D423" s="23" t="str">
        <x:v>PICNIC BASKET WICKER 60 PIECES</x:v>
      </x:c>
      <x:c r="E423" s="34" t="n">
        <x:v>10</x:v>
      </x:c>
      <x:c r="F423" s="55" t="n">
        <x:v>84.7</x:v>
      </x:c>
      <x:c r="G423" s="58" t="n">
        <x:f>E422</x:f>
        <x:v>59</x:v>
      </x:c>
      <x:c r="H423" s="58" t="str">
        <x:f>""</x:f>
      </x:c>
      <x:c r="I423" s="58" t="str">
        <x:f>""</x:f>
      </x:c>
      <x:c r="J423" s="58" t="n">
        <x:f>IF(G423="","",ABS(E423-G423))</x:f>
        <x:v>49</x:v>
      </x:c>
      <x:c r="K423" s="58" t="str">
        <x:f>IF(H423="","",ABS(E423-H423))</x:f>
      </x:c>
      <x:c r="L423" s="58" t="str">
        <x:f>IF(I423="","",ABS(E423-I423))</x:f>
      </x:c>
      <x:c r="M423" s="23" t="str">
        <x:f>IF(B423&gt;44,"Validation","Training")</x:f>
        <x:v>Training</x:v>
      </x:c>
      <x:c r="N423" s="61" t="str">
        <x:f>IF(OR(H423="",E423=0),"",K423/E423)</x:f>
      </x:c>
    </x:row>
    <x:row r="424">
      <x:c r="A424" s="28" t="n">
        <x:v>40539</x:v>
      </x:c>
      <x:c r="B424" s="23" t="n">
        <x:v>4</x:v>
      </x:c>
      <x:c r="C424" s="23" t="str">
        <x:v>22502</x:v>
      </x:c>
      <x:c r="D424" s="23" t="str">
        <x:v>PICNIC BASKET WICKER 60 PIECES</x:v>
      </x:c>
      <x:c r="E424" s="34" t="n">
        <x:v>0</x:v>
      </x:c>
      <x:c r="F424" s="55" t="n">
        <x:v>0</x:v>
      </x:c>
      <x:c r="G424" s="58" t="n">
        <x:f>E423</x:f>
        <x:v>10</x:v>
      </x:c>
      <x:c r="H424" s="58" t="str">
        <x:f>""</x:f>
      </x:c>
      <x:c r="I424" s="58" t="str">
        <x:f>""</x:f>
      </x:c>
      <x:c r="J424" s="58" t="n">
        <x:f>IF(G424="","",ABS(E424-G424))</x:f>
        <x:v>10</x:v>
      </x:c>
      <x:c r="K424" s="58" t="str">
        <x:f>IF(H424="","",ABS(E424-H424))</x:f>
      </x:c>
      <x:c r="L424" s="58" t="str">
        <x:f>IF(I424="","",ABS(E424-I424))</x:f>
      </x:c>
      <x:c r="M424" s="23" t="str">
        <x:f>IF(B424&gt;44,"Validation","Training")</x:f>
        <x:v>Training</x:v>
      </x:c>
      <x:c r="N424" s="61" t="str">
        <x:f>IF(OR(H424="",E424=0),"",K424/E424)</x:f>
      </x:c>
    </x:row>
    <x:row r="425">
      <x:c r="A425" s="28" t="n">
        <x:v>40546</x:v>
      </x:c>
      <x:c r="B425" s="23" t="n">
        <x:v>5</x:v>
      </x:c>
      <x:c r="C425" s="23" t="str">
        <x:v>22502</x:v>
      </x:c>
      <x:c r="D425" s="23" t="str">
        <x:v>PICNIC BASKET WICKER 60 PIECES</x:v>
      </x:c>
      <x:c r="E425" s="34" t="n">
        <x:v>12</x:v>
      </x:c>
      <x:c r="F425" s="55" t="n">
        <x:v>76.44</x:v>
      </x:c>
      <x:c r="G425" s="58" t="n">
        <x:f>E424</x:f>
        <x:v>0</x:v>
      </x:c>
      <x:c r="H425" s="58" t="n">
        <x:f>AVERAGE(E421:E424)</x:f>
        <x:v>27.25</x:v>
      </x:c>
      <x:c r="I425" s="58" t="str">
        <x:f>""</x:f>
      </x:c>
      <x:c r="J425" s="58" t="str">
        <x:f>IF(G425="","",ABS(E425-G425))</x:f>
      </x:c>
      <x:c r="K425" s="58" t="n">
        <x:f>IF(H425="","",ABS(E425-H425))</x:f>
        <x:v>15.25</x:v>
      </x:c>
      <x:c r="L425" s="58" t="str">
        <x:f>IF(I425="","",ABS(E425-I425))</x:f>
      </x:c>
      <x:c r="M425" s="23" t="str">
        <x:f>IF(B425&gt;44,"Validation","Training")</x:f>
        <x:v>Training</x:v>
      </x:c>
      <x:c r="N425" s="61" t="n">
        <x:f>IF(OR(H425="",E425=0),"",K425/E425)</x:f>
        <x:v>1.2708333333333333</x:v>
      </x:c>
    </x:row>
    <x:row r="426">
      <x:c r="A426" s="28" t="n">
        <x:v>40553</x:v>
      </x:c>
      <x:c r="B426" s="23" t="n">
        <x:v>6</x:v>
      </x:c>
      <x:c r="C426" s="23" t="str">
        <x:v>22502</x:v>
      </x:c>
      <x:c r="D426" s="23" t="str">
        <x:v>PICNIC BASKET WICKER 60 PIECES</x:v>
      </x:c>
      <x:c r="E426" s="34" t="n">
        <x:v>27</x:v>
      </x:c>
      <x:c r="F426" s="55" t="n">
        <x:v>158.87</x:v>
      </x:c>
      <x:c r="G426" s="58" t="n">
        <x:f>E425</x:f>
        <x:v>12</x:v>
      </x:c>
      <x:c r="H426" s="58" t="n">
        <x:f>AVERAGE(E422:E425)</x:f>
        <x:v>20.25</x:v>
      </x:c>
      <x:c r="I426" s="58" t="str">
        <x:f>""</x:f>
      </x:c>
      <x:c r="J426" s="58" t="n">
        <x:f>IF(G426="","",ABS(E426-G426))</x:f>
        <x:v>15</x:v>
      </x:c>
      <x:c r="K426" s="58" t="n">
        <x:f>IF(H426="","",ABS(E426-H426))</x:f>
        <x:v>6.75</x:v>
      </x:c>
      <x:c r="L426" s="58" t="str">
        <x:f>IF(I426="","",ABS(E426-I426))</x:f>
      </x:c>
      <x:c r="M426" s="23" t="str">
        <x:f>IF(B426&gt;44,"Validation","Training")</x:f>
        <x:v>Training</x:v>
      </x:c>
      <x:c r="N426" s="61" t="n">
        <x:f>IF(OR(H426="",E426=0),"",K426/E426)</x:f>
        <x:v>0.25</x:v>
      </x:c>
    </x:row>
    <x:row r="427">
      <x:c r="A427" s="28" t="n">
        <x:v>40560</x:v>
      </x:c>
      <x:c r="B427" s="23" t="n">
        <x:v>7</x:v>
      </x:c>
      <x:c r="C427" s="23" t="str">
        <x:v>22502</x:v>
      </x:c>
      <x:c r="D427" s="23" t="str">
        <x:v>PICNIC BASKET WICKER 60 PIECES</x:v>
      </x:c>
      <x:c r="E427" s="34" t="n">
        <x:v>28</x:v>
      </x:c>
      <x:c r="F427" s="55" t="n">
        <x:v>182.98</x:v>
      </x:c>
      <x:c r="G427" s="58" t="n">
        <x:f>E426</x:f>
        <x:v>27</x:v>
      </x:c>
      <x:c r="H427" s="58" t="n">
        <x:f>AVERAGE(E423:E426)</x:f>
        <x:v>12.25</x:v>
      </x:c>
      <x:c r="I427" s="58" t="str">
        <x:f>""</x:f>
      </x:c>
      <x:c r="J427" s="58" t="n">
        <x:f>IF(G427="","",ABS(E427-G427))</x:f>
        <x:v>1</x:v>
      </x:c>
      <x:c r="K427" s="58" t="n">
        <x:f>IF(H427="","",ABS(E427-H427))</x:f>
        <x:v>15.75</x:v>
      </x:c>
      <x:c r="L427" s="58" t="str">
        <x:f>IF(I427="","",ABS(E427-I427))</x:f>
      </x:c>
      <x:c r="M427" s="23" t="str">
        <x:f>IF(B427&gt;44,"Validation","Training")</x:f>
        <x:v>Training</x:v>
      </x:c>
      <x:c r="N427" s="61" t="n">
        <x:f>IF(OR(H427="",E427=0),"",K427/E427)</x:f>
        <x:v>0.5625</x:v>
      </x:c>
    </x:row>
    <x:row r="428">
      <x:c r="A428" s="28" t="n">
        <x:v>40567</x:v>
      </x:c>
      <x:c r="B428" s="23" t="n">
        <x:v>8</x:v>
      </x:c>
      <x:c r="C428" s="23" t="str">
        <x:v>22502</x:v>
      </x:c>
      <x:c r="D428" s="23" t="str">
        <x:v>PICNIC BASKET WICKER 60 PIECES</x:v>
      </x:c>
      <x:c r="E428" s="34" t="n">
        <x:v>153</x:v>
      </x:c>
      <x:c r="F428" s="55" t="n">
        <x:v>805.37</x:v>
      </x:c>
      <x:c r="G428" s="58" t="n">
        <x:f>E427</x:f>
        <x:v>28</x:v>
      </x:c>
      <x:c r="H428" s="58" t="n">
        <x:f>AVERAGE(E424:E427)</x:f>
        <x:v>16.75</x:v>
      </x:c>
      <x:c r="I428" s="58" t="str">
        <x:f>""</x:f>
      </x:c>
      <x:c r="J428" s="58" t="n">
        <x:f>IF(G428="","",ABS(E428-G428))</x:f>
        <x:v>125</x:v>
      </x:c>
      <x:c r="K428" s="58" t="n">
        <x:f>IF(H428="","",ABS(E428-H428))</x:f>
        <x:v>136.25</x:v>
      </x:c>
      <x:c r="L428" s="58" t="str">
        <x:f>IF(I428="","",ABS(E428-I428))</x:f>
      </x:c>
      <x:c r="M428" s="23" t="str">
        <x:f>IF(B428&gt;44,"Validation","Training")</x:f>
        <x:v>Training</x:v>
      </x:c>
      <x:c r="N428" s="61" t="n">
        <x:f>IF(OR(H428="",E428=0),"",K428/E428)</x:f>
        <x:v>0.8905228758169934</x:v>
      </x:c>
    </x:row>
    <x:row r="429">
      <x:c r="A429" s="28" t="n">
        <x:v>40574</x:v>
      </x:c>
      <x:c r="B429" s="23" t="n">
        <x:v>9</x:v>
      </x:c>
      <x:c r="C429" s="23" t="str">
        <x:v>22502</x:v>
      </x:c>
      <x:c r="D429" s="23" t="str">
        <x:v>PICNIC BASKET WICKER 60 PIECES</x:v>
      </x:c>
      <x:c r="E429" s="34" t="n">
        <x:v>46</x:v>
      </x:c>
      <x:c r="F429" s="55" t="n">
        <x:v>313.48</x:v>
      </x:c>
      <x:c r="G429" s="58" t="n">
        <x:f>E428</x:f>
        <x:v>153</x:v>
      </x:c>
      <x:c r="H429" s="58" t="n">
        <x:f>AVERAGE(E425:E428)</x:f>
        <x:v>55</x:v>
      </x:c>
      <x:c r="I429" s="58" t="n">
        <x:f>AVERAGE(E421:E428)</x:f>
        <x:v>41.125</x:v>
      </x:c>
      <x:c r="J429" s="58" t="n">
        <x:f>IF(G429="","",ABS(E429-G429))</x:f>
        <x:v>107</x:v>
      </x:c>
      <x:c r="K429" s="58" t="n">
        <x:f>IF(H429="","",ABS(E429-H429))</x:f>
        <x:v>9</x:v>
      </x:c>
      <x:c r="L429" s="58" t="n">
        <x:f>IF(I429="","",ABS(E429-I429))</x:f>
        <x:v>4.875</x:v>
      </x:c>
      <x:c r="M429" s="23" t="str">
        <x:f>IF(B429&gt;44,"Validation","Training")</x:f>
        <x:v>Training</x:v>
      </x:c>
      <x:c r="N429" s="61" t="n">
        <x:f>IF(OR(H429="",E429=0),"",K429/E429)</x:f>
        <x:v>0.1956521739130435</x:v>
      </x:c>
    </x:row>
    <x:row r="430">
      <x:c r="A430" s="28" t="n">
        <x:v>40581</x:v>
      </x:c>
      <x:c r="B430" s="23" t="n">
        <x:v>10</x:v>
      </x:c>
      <x:c r="C430" s="23" t="str">
        <x:v>22502</x:v>
      </x:c>
      <x:c r="D430" s="23" t="str">
        <x:v>PICNIC BASKET WICKER 60 PIECES</x:v>
      </x:c>
      <x:c r="E430" s="34" t="n">
        <x:v>24</x:v>
      </x:c>
      <x:c r="F430" s="55" t="n">
        <x:v>175.56</x:v>
      </x:c>
      <x:c r="G430" s="58" t="n">
        <x:f>E429</x:f>
        <x:v>46</x:v>
      </x:c>
      <x:c r="H430" s="58" t="n">
        <x:f>AVERAGE(E426:E429)</x:f>
        <x:v>63.5</x:v>
      </x:c>
      <x:c r="I430" s="58" t="n">
        <x:f>AVERAGE(E422:E429)</x:f>
        <x:v>41.875</x:v>
      </x:c>
      <x:c r="J430" s="58" t="n">
        <x:f>IF(G430="","",ABS(E430-G430))</x:f>
        <x:v>22</x:v>
      </x:c>
      <x:c r="K430" s="58" t="n">
        <x:f>IF(H430="","",ABS(E430-H430))</x:f>
        <x:v>39.5</x:v>
      </x:c>
      <x:c r="L430" s="58" t="n">
        <x:f>IF(I430="","",ABS(E430-I430))</x:f>
        <x:v>17.875</x:v>
      </x:c>
      <x:c r="M430" s="23" t="str">
        <x:f>IF(B430&gt;44,"Validation","Training")</x:f>
        <x:v>Training</x:v>
      </x:c>
      <x:c r="N430" s="61" t="n">
        <x:f>IF(OR(H430="",E430=0),"",K430/E430)</x:f>
        <x:v>1.6458333333333333</x:v>
      </x:c>
    </x:row>
    <x:row r="431">
      <x:c r="A431" s="28" t="n">
        <x:v>40588</x:v>
      </x:c>
      <x:c r="B431" s="23" t="n">
        <x:v>11</x:v>
      </x:c>
      <x:c r="C431" s="23" t="str">
        <x:v>22502</x:v>
      </x:c>
      <x:c r="D431" s="23" t="str">
        <x:v>PICNIC BASKET WICKER 60 PIECES</x:v>
      </x:c>
      <x:c r="E431" s="34" t="n">
        <x:v>48</x:v>
      </x:c>
      <x:c r="F431" s="55" t="n">
        <x:v>285</x:v>
      </x:c>
      <x:c r="G431" s="58" t="n">
        <x:f>E430</x:f>
        <x:v>24</x:v>
      </x:c>
      <x:c r="H431" s="58" t="n">
        <x:f>AVERAGE(E427:E430)</x:f>
        <x:v>62.75</x:v>
      </x:c>
      <x:c r="I431" s="58" t="n">
        <x:f>AVERAGE(E423:E430)</x:f>
        <x:v>37.5</x:v>
      </x:c>
      <x:c r="J431" s="58" t="n">
        <x:f>IF(G431="","",ABS(E431-G431))</x:f>
        <x:v>24</x:v>
      </x:c>
      <x:c r="K431" s="58" t="n">
        <x:f>IF(H431="","",ABS(E431-H431))</x:f>
        <x:v>14.75</x:v>
      </x:c>
      <x:c r="L431" s="58" t="n">
        <x:f>IF(I431="","",ABS(E431-I431))</x:f>
        <x:v>10.5</x:v>
      </x:c>
      <x:c r="M431" s="23" t="str">
        <x:f>IF(B431&gt;44,"Validation","Training")</x:f>
        <x:v>Training</x:v>
      </x:c>
      <x:c r="N431" s="61" t="n">
        <x:f>IF(OR(H431="",E431=0),"",K431/E431)</x:f>
        <x:v>0.3072916666666667</x:v>
      </x:c>
    </x:row>
    <x:row r="432">
      <x:c r="A432" s="28" t="n">
        <x:v>40595</x:v>
      </x:c>
      <x:c r="B432" s="23" t="n">
        <x:v>12</x:v>
      </x:c>
      <x:c r="C432" s="23" t="str">
        <x:v>22502</x:v>
      </x:c>
      <x:c r="D432" s="23" t="str">
        <x:v>PICNIC BASKET WICKER 60 PIECES</x:v>
      </x:c>
      <x:c r="E432" s="34" t="n">
        <x:v>72</x:v>
      </x:c>
      <x:c r="F432" s="55" t="n">
        <x:v>454.52</x:v>
      </x:c>
      <x:c r="G432" s="58" t="n">
        <x:f>E431</x:f>
        <x:v>48</x:v>
      </x:c>
      <x:c r="H432" s="58" t="n">
        <x:f>AVERAGE(E428:E431)</x:f>
        <x:v>67.75</x:v>
      </x:c>
      <x:c r="I432" s="58" t="n">
        <x:f>AVERAGE(E424:E431)</x:f>
        <x:v>42.25</x:v>
      </x:c>
      <x:c r="J432" s="58" t="n">
        <x:f>IF(G432="","",ABS(E432-G432))</x:f>
        <x:v>24</x:v>
      </x:c>
      <x:c r="K432" s="58" t="n">
        <x:f>IF(H432="","",ABS(E432-H432))</x:f>
        <x:v>4.25</x:v>
      </x:c>
      <x:c r="L432" s="58" t="n">
        <x:f>IF(I432="","",ABS(E432-I432))</x:f>
        <x:v>29.75</x:v>
      </x:c>
      <x:c r="M432" s="23" t="str">
        <x:f>IF(B432&gt;44,"Validation","Training")</x:f>
        <x:v>Training</x:v>
      </x:c>
      <x:c r="N432" s="61" t="n">
        <x:f>IF(OR(H432="",E432=0),"",K432/E432)</x:f>
        <x:v>0.059027777777777776</x:v>
      </x:c>
    </x:row>
    <x:row r="433">
      <x:c r="A433" s="28" t="n">
        <x:v>40602</x:v>
      </x:c>
      <x:c r="B433" s="23" t="n">
        <x:v>13</x:v>
      </x:c>
      <x:c r="C433" s="23" t="str">
        <x:v>22502</x:v>
      </x:c>
      <x:c r="D433" s="23" t="str">
        <x:v>PICNIC BASKET WICKER 60 PIECES</x:v>
      </x:c>
      <x:c r="E433" s="34" t="n">
        <x:v>45</x:v>
      </x:c>
      <x:c r="F433" s="55" t="n">
        <x:v>263.61</x:v>
      </x:c>
      <x:c r="G433" s="58" t="n">
        <x:f>E432</x:f>
        <x:v>72</x:v>
      </x:c>
      <x:c r="H433" s="58" t="n">
        <x:f>AVERAGE(E429:E432)</x:f>
        <x:v>47.5</x:v>
      </x:c>
      <x:c r="I433" s="58" t="n">
        <x:f>AVERAGE(E425:E432)</x:f>
        <x:v>51.25</x:v>
      </x:c>
      <x:c r="J433" s="58" t="n">
        <x:f>IF(G433="","",ABS(E433-G433))</x:f>
        <x:v>27</x:v>
      </x:c>
      <x:c r="K433" s="58" t="n">
        <x:f>IF(H433="","",ABS(E433-H433))</x:f>
        <x:v>2.5</x:v>
      </x:c>
      <x:c r="L433" s="58" t="n">
        <x:f>IF(I433="","",ABS(E433-I433))</x:f>
        <x:v>6.25</x:v>
      </x:c>
      <x:c r="M433" s="23" t="str">
        <x:f>IF(B433&gt;44,"Validation","Training")</x:f>
        <x:v>Training</x:v>
      </x:c>
      <x:c r="N433" s="61" t="n">
        <x:f>IF(OR(H433="",E433=0),"",K433/E433)</x:f>
        <x:v>0.05555555555555555</x:v>
      </x:c>
    </x:row>
    <x:row r="434">
      <x:c r="A434" s="28" t="n">
        <x:v>40609</x:v>
      </x:c>
      <x:c r="B434" s="23" t="n">
        <x:v>14</x:v>
      </x:c>
      <x:c r="C434" s="23" t="str">
        <x:v>22502</x:v>
      </x:c>
      <x:c r="D434" s="23" t="str">
        <x:v>PICNIC BASKET WICKER 60 PIECES</x:v>
      </x:c>
      <x:c r="E434" s="34" t="n">
        <x:v>138</x:v>
      </x:c>
      <x:c r="F434" s="55" t="n">
        <x:v>850.46</x:v>
      </x:c>
      <x:c r="G434" s="58" t="n">
        <x:f>E433</x:f>
        <x:v>45</x:v>
      </x:c>
      <x:c r="H434" s="58" t="n">
        <x:f>AVERAGE(E430:E433)</x:f>
        <x:v>47.25</x:v>
      </x:c>
      <x:c r="I434" s="58" t="n">
        <x:f>AVERAGE(E426:E433)</x:f>
        <x:v>55.375</x:v>
      </x:c>
      <x:c r="J434" s="58" t="n">
        <x:f>IF(G434="","",ABS(E434-G434))</x:f>
        <x:v>93</x:v>
      </x:c>
      <x:c r="K434" s="58" t="n">
        <x:f>IF(H434="","",ABS(E434-H434))</x:f>
        <x:v>90.75</x:v>
      </x:c>
      <x:c r="L434" s="58" t="n">
        <x:f>IF(I434="","",ABS(E434-I434))</x:f>
        <x:v>82.625</x:v>
      </x:c>
      <x:c r="M434" s="23" t="str">
        <x:f>IF(B434&gt;44,"Validation","Training")</x:f>
        <x:v>Training</x:v>
      </x:c>
      <x:c r="N434" s="61" t="n">
        <x:f>IF(OR(H434="",E434=0),"",K434/E434)</x:f>
        <x:v>0.657608695652174</x:v>
      </x:c>
    </x:row>
    <x:row r="435">
      <x:c r="A435" s="28" t="n">
        <x:v>40616</x:v>
      </x:c>
      <x:c r="B435" s="23" t="n">
        <x:v>15</x:v>
      </x:c>
      <x:c r="C435" s="23" t="str">
        <x:v>22502</x:v>
      </x:c>
      <x:c r="D435" s="23" t="str">
        <x:v>PICNIC BASKET WICKER 60 PIECES</x:v>
      </x:c>
      <x:c r="E435" s="34" t="n">
        <x:v>27</x:v>
      </x:c>
      <x:c r="F435" s="55" t="n">
        <x:v>182.35</x:v>
      </x:c>
      <x:c r="G435" s="58" t="n">
        <x:f>E434</x:f>
        <x:v>138</x:v>
      </x:c>
      <x:c r="H435" s="58" t="n">
        <x:f>AVERAGE(E431:E434)</x:f>
        <x:v>75.75</x:v>
      </x:c>
      <x:c r="I435" s="58" t="n">
        <x:f>AVERAGE(E427:E434)</x:f>
        <x:v>69.25</x:v>
      </x:c>
      <x:c r="J435" s="58" t="n">
        <x:f>IF(G435="","",ABS(E435-G435))</x:f>
        <x:v>111</x:v>
      </x:c>
      <x:c r="K435" s="58" t="n">
        <x:f>IF(H435="","",ABS(E435-H435))</x:f>
        <x:v>48.75</x:v>
      </x:c>
      <x:c r="L435" s="58" t="n">
        <x:f>IF(I435="","",ABS(E435-I435))</x:f>
        <x:v>42.25</x:v>
      </x:c>
      <x:c r="M435" s="23" t="str">
        <x:f>IF(B435&gt;44,"Validation","Training")</x:f>
        <x:v>Training</x:v>
      </x:c>
      <x:c r="N435" s="61" t="n">
        <x:f>IF(OR(H435="",E435=0),"",K435/E435)</x:f>
        <x:v>1.8055555555555556</x:v>
      </x:c>
    </x:row>
    <x:row r="436">
      <x:c r="A436" s="28" t="n">
        <x:v>40623</x:v>
      </x:c>
      <x:c r="B436" s="23" t="n">
        <x:v>16</x:v>
      </x:c>
      <x:c r="C436" s="23" t="str">
        <x:v>22502</x:v>
      </x:c>
      <x:c r="D436" s="23" t="str">
        <x:v>PICNIC BASKET WICKER 60 PIECES</x:v>
      </x:c>
      <x:c r="E436" s="34" t="n">
        <x:v>59</x:v>
      </x:c>
      <x:c r="F436" s="55" t="n">
        <x:v>372.97</x:v>
      </x:c>
      <x:c r="G436" s="58" t="n">
        <x:f>E435</x:f>
        <x:v>27</x:v>
      </x:c>
      <x:c r="H436" s="58" t="n">
        <x:f>AVERAGE(E432:E435)</x:f>
        <x:v>70.5</x:v>
      </x:c>
      <x:c r="I436" s="58" t="n">
        <x:f>AVERAGE(E428:E435)</x:f>
        <x:v>69.125</x:v>
      </x:c>
      <x:c r="J436" s="58" t="n">
        <x:f>IF(G436="","",ABS(E436-G436))</x:f>
        <x:v>32</x:v>
      </x:c>
      <x:c r="K436" s="58" t="n">
        <x:f>IF(H436="","",ABS(E436-H436))</x:f>
        <x:v>11.5</x:v>
      </x:c>
      <x:c r="L436" s="58" t="n">
        <x:f>IF(I436="","",ABS(E436-I436))</x:f>
        <x:v>10.125</x:v>
      </x:c>
      <x:c r="M436" s="23" t="str">
        <x:f>IF(B436&gt;44,"Validation","Training")</x:f>
        <x:v>Training</x:v>
      </x:c>
      <x:c r="N436" s="61" t="n">
        <x:f>IF(OR(H436="",E436=0),"",K436/E436)</x:f>
        <x:v>0.19491525423728814</x:v>
      </x:c>
    </x:row>
    <x:row r="437">
      <x:c r="A437" s="28" t="n">
        <x:v>40630</x:v>
      </x:c>
      <x:c r="B437" s="23" t="n">
        <x:v>17</x:v>
      </x:c>
      <x:c r="C437" s="23" t="str">
        <x:v>22502</x:v>
      </x:c>
      <x:c r="D437" s="23" t="str">
        <x:v>PICNIC BASKET WICKER 60 PIECES</x:v>
      </x:c>
      <x:c r="E437" s="34" t="n">
        <x:v>51</x:v>
      </x:c>
      <x:c r="F437" s="55" t="n">
        <x:v>348.71</x:v>
      </x:c>
      <x:c r="G437" s="58" t="n">
        <x:f>E436</x:f>
        <x:v>59</x:v>
      </x:c>
      <x:c r="H437" s="58" t="n">
        <x:f>AVERAGE(E433:E436)</x:f>
        <x:v>67.25</x:v>
      </x:c>
      <x:c r="I437" s="58" t="n">
        <x:f>AVERAGE(E429:E436)</x:f>
        <x:v>57.375</x:v>
      </x:c>
      <x:c r="J437" s="58" t="n">
        <x:f>IF(G437="","",ABS(E437-G437))</x:f>
        <x:v>8</x:v>
      </x:c>
      <x:c r="K437" s="58" t="n">
        <x:f>IF(H437="","",ABS(E437-H437))</x:f>
        <x:v>16.25</x:v>
      </x:c>
      <x:c r="L437" s="58" t="n">
        <x:f>IF(I437="","",ABS(E437-I437))</x:f>
        <x:v>6.375</x:v>
      </x:c>
      <x:c r="M437" s="23" t="str">
        <x:f>IF(B437&gt;44,"Validation","Training")</x:f>
        <x:v>Training</x:v>
      </x:c>
      <x:c r="N437" s="61" t="n">
        <x:f>IF(OR(H437="",E437=0),"",K437/E437)</x:f>
        <x:v>0.31862745098039214</x:v>
      </x:c>
    </x:row>
    <x:row r="438">
      <x:c r="A438" s="28" t="n">
        <x:v>40637</x:v>
      </x:c>
      <x:c r="B438" s="23" t="n">
        <x:v>18</x:v>
      </x:c>
      <x:c r="C438" s="23" t="str">
        <x:v>22502</x:v>
      </x:c>
      <x:c r="D438" s="23" t="str">
        <x:v>PICNIC BASKET WICKER 60 PIECES</x:v>
      </x:c>
      <x:c r="E438" s="34" t="n">
        <x:v>64</x:v>
      </x:c>
      <x:c r="F438" s="55" t="n">
        <x:v>353.64</x:v>
      </x:c>
      <x:c r="G438" s="58" t="n">
        <x:f>E437</x:f>
        <x:v>51</x:v>
      </x:c>
      <x:c r="H438" s="58" t="n">
        <x:f>AVERAGE(E434:E437)</x:f>
        <x:v>68.75</x:v>
      </x:c>
      <x:c r="I438" s="58" t="n">
        <x:f>AVERAGE(E430:E437)</x:f>
        <x:v>58</x:v>
      </x:c>
      <x:c r="J438" s="58" t="n">
        <x:f>IF(G438="","",ABS(E438-G438))</x:f>
        <x:v>13</x:v>
      </x:c>
      <x:c r="K438" s="58" t="n">
        <x:f>IF(H438="","",ABS(E438-H438))</x:f>
        <x:v>4.75</x:v>
      </x:c>
      <x:c r="L438" s="58" t="n">
        <x:f>IF(I438="","",ABS(E438-I438))</x:f>
        <x:v>6</x:v>
      </x:c>
      <x:c r="M438" s="23" t="str">
        <x:f>IF(B438&gt;44,"Validation","Training")</x:f>
        <x:v>Training</x:v>
      </x:c>
      <x:c r="N438" s="61" t="n">
        <x:f>IF(OR(H438="",E438=0),"",K438/E438)</x:f>
        <x:v>0.07421875</x:v>
      </x:c>
    </x:row>
    <x:row r="439">
      <x:c r="A439" s="28" t="n">
        <x:v>40644</x:v>
      </x:c>
      <x:c r="B439" s="23" t="n">
        <x:v>19</x:v>
      </x:c>
      <x:c r="C439" s="23" t="str">
        <x:v>22502</x:v>
      </x:c>
      <x:c r="D439" s="23" t="str">
        <x:v>PICNIC BASKET WICKER 60 PIECES</x:v>
      </x:c>
      <x:c r="E439" s="34" t="n">
        <x:v>96</x:v>
      </x:c>
      <x:c r="F439" s="55" t="n">
        <x:v>593.02</x:v>
      </x:c>
      <x:c r="G439" s="58" t="n">
        <x:f>E438</x:f>
        <x:v>64</x:v>
      </x:c>
      <x:c r="H439" s="58" t="n">
        <x:f>AVERAGE(E435:E438)</x:f>
        <x:v>50.25</x:v>
      </x:c>
      <x:c r="I439" s="58" t="n">
        <x:f>AVERAGE(E431:E438)</x:f>
        <x:v>63</x:v>
      </x:c>
      <x:c r="J439" s="58" t="n">
        <x:f>IF(G439="","",ABS(E439-G439))</x:f>
        <x:v>32</x:v>
      </x:c>
      <x:c r="K439" s="58" t="n">
        <x:f>IF(H439="","",ABS(E439-H439))</x:f>
        <x:v>45.75</x:v>
      </x:c>
      <x:c r="L439" s="58" t="n">
        <x:f>IF(I439="","",ABS(E439-I439))</x:f>
        <x:v>33</x:v>
      </x:c>
      <x:c r="M439" s="23" t="str">
        <x:f>IF(B439&gt;44,"Validation","Training")</x:f>
        <x:v>Training</x:v>
      </x:c>
      <x:c r="N439" s="61" t="n">
        <x:f>IF(OR(H439="",E439=0),"",K439/E439)</x:f>
        <x:v>0.4765625</x:v>
      </x:c>
    </x:row>
    <x:row r="440">
      <x:c r="A440" s="28" t="n">
        <x:v>40651</x:v>
      </x:c>
      <x:c r="B440" s="23" t="n">
        <x:v>20</x:v>
      </x:c>
      <x:c r="C440" s="23" t="str">
        <x:v>22502</x:v>
      </x:c>
      <x:c r="D440" s="23" t="str">
        <x:v>PICNIC BASKET WICKER 60 PIECES</x:v>
      </x:c>
      <x:c r="E440" s="34" t="n">
        <x:v>54</x:v>
      </x:c>
      <x:c r="F440" s="55" t="n">
        <x:v>393.9</x:v>
      </x:c>
      <x:c r="G440" s="58" t="n">
        <x:f>E439</x:f>
        <x:v>96</x:v>
      </x:c>
      <x:c r="H440" s="58" t="n">
        <x:f>AVERAGE(E436:E439)</x:f>
        <x:v>67.5</x:v>
      </x:c>
      <x:c r="I440" s="58" t="n">
        <x:f>AVERAGE(E432:E439)</x:f>
        <x:v>69</x:v>
      </x:c>
      <x:c r="J440" s="58" t="n">
        <x:f>IF(G440="","",ABS(E440-G440))</x:f>
        <x:v>42</x:v>
      </x:c>
      <x:c r="K440" s="58" t="n">
        <x:f>IF(H440="","",ABS(E440-H440))</x:f>
        <x:v>13.5</x:v>
      </x:c>
      <x:c r="L440" s="58" t="n">
        <x:f>IF(I440="","",ABS(E440-I440))</x:f>
        <x:v>15</x:v>
      </x:c>
      <x:c r="M440" s="23" t="str">
        <x:f>IF(B440&gt;44,"Validation","Training")</x:f>
        <x:v>Training</x:v>
      </x:c>
      <x:c r="N440" s="61" t="n">
        <x:f>IF(OR(H440="",E440=0),"",K440/E440)</x:f>
        <x:v>0.25</x:v>
      </x:c>
    </x:row>
    <x:row r="441">
      <x:c r="A441" s="28" t="n">
        <x:v>40658</x:v>
      </x:c>
      <x:c r="B441" s="23" t="n">
        <x:v>21</x:v>
      </x:c>
      <x:c r="C441" s="23" t="str">
        <x:v>22502</x:v>
      </x:c>
      <x:c r="D441" s="23" t="str">
        <x:v>PICNIC BASKET WICKER 60 PIECES</x:v>
      </x:c>
      <x:c r="E441" s="34" t="n">
        <x:v>47</x:v>
      </x:c>
      <x:c r="F441" s="55" t="n">
        <x:v>315.07</x:v>
      </x:c>
      <x:c r="G441" s="58" t="n">
        <x:f>E440</x:f>
        <x:v>54</x:v>
      </x:c>
      <x:c r="H441" s="58" t="n">
        <x:f>AVERAGE(E437:E440)</x:f>
        <x:v>66.25</x:v>
      </x:c>
      <x:c r="I441" s="58" t="n">
        <x:f>AVERAGE(E433:E440)</x:f>
        <x:v>66.75</x:v>
      </x:c>
      <x:c r="J441" s="58" t="n">
        <x:f>IF(G441="","",ABS(E441-G441))</x:f>
        <x:v>7</x:v>
      </x:c>
      <x:c r="K441" s="58" t="n">
        <x:f>IF(H441="","",ABS(E441-H441))</x:f>
        <x:v>19.25</x:v>
      </x:c>
      <x:c r="L441" s="58" t="n">
        <x:f>IF(I441="","",ABS(E441-I441))</x:f>
        <x:v>19.75</x:v>
      </x:c>
      <x:c r="M441" s="23" t="str">
        <x:f>IF(B441&gt;44,"Validation","Training")</x:f>
        <x:v>Training</x:v>
      </x:c>
      <x:c r="N441" s="61" t="n">
        <x:f>IF(OR(H441="",E441=0),"",K441/E441)</x:f>
        <x:v>0.4095744680851064</x:v>
      </x:c>
    </x:row>
    <x:row r="442">
      <x:c r="A442" s="28" t="n">
        <x:v>40665</x:v>
      </x:c>
      <x:c r="B442" s="23" t="n">
        <x:v>22</x:v>
      </x:c>
      <x:c r="C442" s="23" t="str">
        <x:v>22502</x:v>
      </x:c>
      <x:c r="D442" s="23" t="str">
        <x:v>PICNIC BASKET WICKER 60 PIECES</x:v>
      </x:c>
      <x:c r="E442" s="34" t="n">
        <x:v>160</x:v>
      </x:c>
      <x:c r="F442" s="55" t="n">
        <x:v>885.04</x:v>
      </x:c>
      <x:c r="G442" s="58" t="n">
        <x:f>E441</x:f>
        <x:v>47</x:v>
      </x:c>
      <x:c r="H442" s="58" t="n">
        <x:f>AVERAGE(E438:E441)</x:f>
        <x:v>65.25</x:v>
      </x:c>
      <x:c r="I442" s="58" t="n">
        <x:f>AVERAGE(E434:E441)</x:f>
        <x:v>67</x:v>
      </x:c>
      <x:c r="J442" s="58" t="n">
        <x:f>IF(G442="","",ABS(E442-G442))</x:f>
        <x:v>113</x:v>
      </x:c>
      <x:c r="K442" s="58" t="n">
        <x:f>IF(H442="","",ABS(E442-H442))</x:f>
        <x:v>94.75</x:v>
      </x:c>
      <x:c r="L442" s="58" t="n">
        <x:f>IF(I442="","",ABS(E442-I442))</x:f>
        <x:v>93</x:v>
      </x:c>
      <x:c r="M442" s="23" t="str">
        <x:f>IF(B442&gt;44,"Validation","Training")</x:f>
        <x:v>Training</x:v>
      </x:c>
      <x:c r="N442" s="61" t="n">
        <x:f>IF(OR(H442="",E442=0),"",K442/E442)</x:f>
        <x:v>0.5921875</x:v>
      </x:c>
    </x:row>
    <x:row r="443">
      <x:c r="A443" s="28" t="n">
        <x:v>40672</x:v>
      </x:c>
      <x:c r="B443" s="23" t="n">
        <x:v>23</x:v>
      </x:c>
      <x:c r="C443" s="23" t="str">
        <x:v>22502</x:v>
      </x:c>
      <x:c r="D443" s="23" t="str">
        <x:v>PICNIC BASKET WICKER 60 PIECES</x:v>
      </x:c>
      <x:c r="E443" s="34" t="n">
        <x:v>214</x:v>
      </x:c>
      <x:c r="F443" s="55" t="n">
        <x:v>1203.84</x:v>
      </x:c>
      <x:c r="G443" s="58" t="n">
        <x:f>E442</x:f>
        <x:v>160</x:v>
      </x:c>
      <x:c r="H443" s="58" t="n">
        <x:f>AVERAGE(E439:E442)</x:f>
        <x:v>89.25</x:v>
      </x:c>
      <x:c r="I443" s="58" t="n">
        <x:f>AVERAGE(E435:E442)</x:f>
        <x:v>69.75</x:v>
      </x:c>
      <x:c r="J443" s="58" t="n">
        <x:f>IF(G443="","",ABS(E443-G443))</x:f>
        <x:v>54</x:v>
      </x:c>
      <x:c r="K443" s="58" t="n">
        <x:f>IF(H443="","",ABS(E443-H443))</x:f>
        <x:v>124.75</x:v>
      </x:c>
      <x:c r="L443" s="58" t="n">
        <x:f>IF(I443="","",ABS(E443-I443))</x:f>
        <x:v>144.25</x:v>
      </x:c>
      <x:c r="M443" s="23" t="str">
        <x:f>IF(B443&gt;44,"Validation","Training")</x:f>
        <x:v>Training</x:v>
      </x:c>
      <x:c r="N443" s="61" t="n">
        <x:f>IF(OR(H443="",E443=0),"",K443/E443)</x:f>
        <x:v>0.5829439252336449</x:v>
      </x:c>
    </x:row>
    <x:row r="444">
      <x:c r="A444" s="28" t="n">
        <x:v>40679</x:v>
      </x:c>
      <x:c r="B444" s="23" t="n">
        <x:v>24</x:v>
      </x:c>
      <x:c r="C444" s="23" t="str">
        <x:v>22502</x:v>
      </x:c>
      <x:c r="D444" s="23" t="str">
        <x:v>PICNIC BASKET WICKER 60 PIECES</x:v>
      </x:c>
      <x:c r="E444" s="34" t="n">
        <x:v>94</x:v>
      </x:c>
      <x:c r="F444" s="55" t="n">
        <x:v>588.62</x:v>
      </x:c>
      <x:c r="G444" s="58" t="n">
        <x:f>E443</x:f>
        <x:v>214</x:v>
      </x:c>
      <x:c r="H444" s="58" t="n">
        <x:f>AVERAGE(E440:E443)</x:f>
        <x:v>118.75</x:v>
      </x:c>
      <x:c r="I444" s="58" t="n">
        <x:f>AVERAGE(E436:E443)</x:f>
        <x:v>93.125</x:v>
      </x:c>
      <x:c r="J444" s="58" t="n">
        <x:f>IF(G444="","",ABS(E444-G444))</x:f>
        <x:v>120</x:v>
      </x:c>
      <x:c r="K444" s="58" t="n">
        <x:f>IF(H444="","",ABS(E444-H444))</x:f>
        <x:v>24.75</x:v>
      </x:c>
      <x:c r="L444" s="58" t="n">
        <x:f>IF(I444="","",ABS(E444-I444))</x:f>
        <x:v>0.875</x:v>
      </x:c>
      <x:c r="M444" s="23" t="str">
        <x:f>IF(B444&gt;44,"Validation","Training")</x:f>
        <x:v>Training</x:v>
      </x:c>
      <x:c r="N444" s="61" t="n">
        <x:f>IF(OR(H444="",E444=0),"",K444/E444)</x:f>
        <x:v>0.2632978723404255</x:v>
      </x:c>
    </x:row>
    <x:row r="445">
      <x:c r="A445" s="28" t="n">
        <x:v>40686</x:v>
      </x:c>
      <x:c r="B445" s="23" t="n">
        <x:v>25</x:v>
      </x:c>
      <x:c r="C445" s="23" t="str">
        <x:v>22502</x:v>
      </x:c>
      <x:c r="D445" s="23" t="str">
        <x:v>PICNIC BASKET WICKER 60 PIECES</x:v>
      </x:c>
      <x:c r="E445" s="34" t="n">
        <x:v>28</x:v>
      </x:c>
      <x:c r="F445" s="55" t="n">
        <x:v>176.82</x:v>
      </x:c>
      <x:c r="G445" s="58" t="n">
        <x:f>E444</x:f>
        <x:v>94</x:v>
      </x:c>
      <x:c r="H445" s="58" t="n">
        <x:f>AVERAGE(E441:E444)</x:f>
        <x:v>128.75</x:v>
      </x:c>
      <x:c r="I445" s="58" t="n">
        <x:f>AVERAGE(E437:E444)</x:f>
        <x:v>97.5</x:v>
      </x:c>
      <x:c r="J445" s="58" t="n">
        <x:f>IF(G445="","",ABS(E445-G445))</x:f>
        <x:v>66</x:v>
      </x:c>
      <x:c r="K445" s="58" t="n">
        <x:f>IF(H445="","",ABS(E445-H445))</x:f>
        <x:v>100.75</x:v>
      </x:c>
      <x:c r="L445" s="58" t="n">
        <x:f>IF(I445="","",ABS(E445-I445))</x:f>
        <x:v>69.5</x:v>
      </x:c>
      <x:c r="M445" s="23" t="str">
        <x:f>IF(B445&gt;44,"Validation","Training")</x:f>
        <x:v>Training</x:v>
      </x:c>
      <x:c r="N445" s="61" t="n">
        <x:f>IF(OR(H445="",E445=0),"",K445/E445)</x:f>
        <x:v>3.5982142857142856</x:v>
      </x:c>
    </x:row>
    <x:row r="446">
      <x:c r="A446" s="28" t="n">
        <x:v>40693</x:v>
      </x:c>
      <x:c r="B446" s="23" t="n">
        <x:v>26</x:v>
      </x:c>
      <x:c r="C446" s="23" t="str">
        <x:v>22502</x:v>
      </x:c>
      <x:c r="D446" s="23" t="str">
        <x:v>PICNIC BASKET WICKER 60 PIECES</x:v>
      </x:c>
      <x:c r="E446" s="34" t="n">
        <x:v>25</x:v>
      </x:c>
      <x:c r="F446" s="55" t="n">
        <x:v>176.31</x:v>
      </x:c>
      <x:c r="G446" s="58" t="n">
        <x:f>E445</x:f>
        <x:v>28</x:v>
      </x:c>
      <x:c r="H446" s="58" t="n">
        <x:f>AVERAGE(E442:E445)</x:f>
        <x:v>124</x:v>
      </x:c>
      <x:c r="I446" s="58" t="n">
        <x:f>AVERAGE(E438:E445)</x:f>
        <x:v>94.625</x:v>
      </x:c>
      <x:c r="J446" s="58" t="n">
        <x:f>IF(G446="","",ABS(E446-G446))</x:f>
        <x:v>3</x:v>
      </x:c>
      <x:c r="K446" s="58" t="n">
        <x:f>IF(H446="","",ABS(E446-H446))</x:f>
        <x:v>99</x:v>
      </x:c>
      <x:c r="L446" s="58" t="n">
        <x:f>IF(I446="","",ABS(E446-I446))</x:f>
        <x:v>69.625</x:v>
      </x:c>
      <x:c r="M446" s="23" t="str">
        <x:f>IF(B446&gt;44,"Validation","Training")</x:f>
        <x:v>Training</x:v>
      </x:c>
      <x:c r="N446" s="61" t="n">
        <x:f>IF(OR(H446="",E446=0),"",K446/E446)</x:f>
        <x:v>3.96</x:v>
      </x:c>
    </x:row>
    <x:row r="447">
      <x:c r="A447" s="28" t="n">
        <x:v>40700</x:v>
      </x:c>
      <x:c r="B447" s="23" t="n">
        <x:v>27</x:v>
      </x:c>
      <x:c r="C447" s="23" t="str">
        <x:v>22502</x:v>
      </x:c>
      <x:c r="D447" s="23" t="str">
        <x:v>PICNIC BASKET WICKER 60 PIECES</x:v>
      </x:c>
      <x:c r="E447" s="34" t="n">
        <x:v>155</x:v>
      </x:c>
      <x:c r="F447" s="55" t="n">
        <x:v>40278.52</x:v>
      </x:c>
      <x:c r="G447" s="58" t="n">
        <x:f>E446</x:f>
        <x:v>25</x:v>
      </x:c>
      <x:c r="H447" s="58" t="n">
        <x:f>AVERAGE(E443:E446)</x:f>
        <x:v>90.25</x:v>
      </x:c>
      <x:c r="I447" s="58" t="n">
        <x:f>AVERAGE(E439:E446)</x:f>
        <x:v>89.75</x:v>
      </x:c>
      <x:c r="J447" s="58" t="n">
        <x:f>IF(G447="","",ABS(E447-G447))</x:f>
        <x:v>130</x:v>
      </x:c>
      <x:c r="K447" s="58" t="n">
        <x:f>IF(H447="","",ABS(E447-H447))</x:f>
        <x:v>64.75</x:v>
      </x:c>
      <x:c r="L447" s="58" t="n">
        <x:f>IF(I447="","",ABS(E447-I447))</x:f>
        <x:v>65.25</x:v>
      </x:c>
      <x:c r="M447" s="23" t="str">
        <x:f>IF(B447&gt;44,"Validation","Training")</x:f>
        <x:v>Training</x:v>
      </x:c>
      <x:c r="N447" s="61" t="n">
        <x:f>IF(OR(H447="",E447=0),"",K447/E447)</x:f>
        <x:v>0.41774193548387095</x:v>
      </x:c>
    </x:row>
    <x:row r="448">
      <x:c r="A448" s="28" t="n">
        <x:v>40707</x:v>
      </x:c>
      <x:c r="B448" s="23" t="n">
        <x:v>28</x:v>
      </x:c>
      <x:c r="C448" s="23" t="str">
        <x:v>22502</x:v>
      </x:c>
      <x:c r="D448" s="23" t="str">
        <x:v>PICNIC BASKET WICKER 60 PIECES</x:v>
      </x:c>
      <x:c r="E448" s="34" t="n">
        <x:v>8</x:v>
      </x:c>
      <x:c r="F448" s="55" t="n">
        <x:v>86.32</x:v>
      </x:c>
      <x:c r="G448" s="58" t="n">
        <x:f>E447</x:f>
        <x:v>155</x:v>
      </x:c>
      <x:c r="H448" s="58" t="n">
        <x:f>AVERAGE(E444:E447)</x:f>
        <x:v>75.5</x:v>
      </x:c>
      <x:c r="I448" s="58" t="n">
        <x:f>AVERAGE(E440:E447)</x:f>
        <x:v>97.125</x:v>
      </x:c>
      <x:c r="J448" s="58" t="n">
        <x:f>IF(G448="","",ABS(E448-G448))</x:f>
        <x:v>147</x:v>
      </x:c>
      <x:c r="K448" s="58" t="n">
        <x:f>IF(H448="","",ABS(E448-H448))</x:f>
        <x:v>67.5</x:v>
      </x:c>
      <x:c r="L448" s="58" t="n">
        <x:f>IF(I448="","",ABS(E448-I448))</x:f>
        <x:v>89.125</x:v>
      </x:c>
      <x:c r="M448" s="23" t="str">
        <x:f>IF(B448&gt;44,"Validation","Training")</x:f>
        <x:v>Training</x:v>
      </x:c>
      <x:c r="N448" s="61" t="n">
        <x:f>IF(OR(H448="",E448=0),"",K448/E448)</x:f>
        <x:v>8.4375</x:v>
      </x:c>
    </x:row>
    <x:row r="449">
      <x:c r="A449" s="28" t="n">
        <x:v>40714</x:v>
      </x:c>
      <x:c r="B449" s="23" t="n">
        <x:v>29</x:v>
      </x:c>
      <x:c r="C449" s="23" t="str">
        <x:v>22502</x:v>
      </x:c>
      <x:c r="D449" s="23" t="str">
        <x:v>PICNIC BASKET WICKER 60 PIECES</x:v>
      </x:c>
      <x:c r="E449" s="34" t="n">
        <x:v>10</x:v>
      </x:c>
      <x:c r="F449" s="55" t="n">
        <x:v>88.54</x:v>
      </x:c>
      <x:c r="G449" s="58" t="n">
        <x:f>E448</x:f>
        <x:v>8</x:v>
      </x:c>
      <x:c r="H449" s="58" t="n">
        <x:f>AVERAGE(E445:E448)</x:f>
        <x:v>54</x:v>
      </x:c>
      <x:c r="I449" s="58" t="n">
        <x:f>AVERAGE(E441:E448)</x:f>
        <x:v>91.375</x:v>
      </x:c>
      <x:c r="J449" s="58" t="n">
        <x:f>IF(G449="","",ABS(E449-G449))</x:f>
        <x:v>2</x:v>
      </x:c>
      <x:c r="K449" s="58" t="n">
        <x:f>IF(H449="","",ABS(E449-H449))</x:f>
        <x:v>44</x:v>
      </x:c>
      <x:c r="L449" s="58" t="n">
        <x:f>IF(I449="","",ABS(E449-I449))</x:f>
        <x:v>81.375</x:v>
      </x:c>
      <x:c r="M449" s="23" t="str">
        <x:f>IF(B449&gt;44,"Validation","Training")</x:f>
        <x:v>Training</x:v>
      </x:c>
      <x:c r="N449" s="61" t="n">
        <x:f>IF(OR(H449="",E449=0),"",K449/E449)</x:f>
        <x:v>4.4</x:v>
      </x:c>
    </x:row>
    <x:row r="450">
      <x:c r="A450" s="28" t="n">
        <x:v>40721</x:v>
      </x:c>
      <x:c r="B450" s="23" t="n">
        <x:v>30</x:v>
      </x:c>
      <x:c r="C450" s="23" t="str">
        <x:v>22502</x:v>
      </x:c>
      <x:c r="D450" s="23" t="str">
        <x:v>PICNIC BASKET WICKER 60 PIECES</x:v>
      </x:c>
      <x:c r="E450" s="34" t="n">
        <x:v>1</x:v>
      </x:c>
      <x:c r="F450" s="55" t="n">
        <x:v>10.79</x:v>
      </x:c>
      <x:c r="G450" s="58" t="n">
        <x:f>E449</x:f>
        <x:v>10</x:v>
      </x:c>
      <x:c r="H450" s="58" t="n">
        <x:f>AVERAGE(E446:E449)</x:f>
        <x:v>49.5</x:v>
      </x:c>
      <x:c r="I450" s="58" t="n">
        <x:f>AVERAGE(E442:E449)</x:f>
        <x:v>86.75</x:v>
      </x:c>
      <x:c r="J450" s="58" t="n">
        <x:f>IF(G450="","",ABS(E450-G450))</x:f>
        <x:v>9</x:v>
      </x:c>
      <x:c r="K450" s="58" t="n">
        <x:f>IF(H450="","",ABS(E450-H450))</x:f>
        <x:v>48.5</x:v>
      </x:c>
      <x:c r="L450" s="58" t="n">
        <x:f>IF(I450="","",ABS(E450-I450))</x:f>
        <x:v>85.75</x:v>
      </x:c>
      <x:c r="M450" s="23" t="str">
        <x:f>IF(B450&gt;44,"Validation","Training")</x:f>
        <x:v>Training</x:v>
      </x:c>
      <x:c r="N450" s="61" t="n">
        <x:f>IF(OR(H450="",E450=0),"",K450/E450)</x:f>
        <x:v>48.5</x:v>
      </x:c>
    </x:row>
    <x:row r="451">
      <x:c r="A451" s="28" t="n">
        <x:v>40728</x:v>
      </x:c>
      <x:c r="B451" s="23" t="n">
        <x:v>31</x:v>
      </x:c>
      <x:c r="C451" s="23" t="str">
        <x:v>22502</x:v>
      </x:c>
      <x:c r="D451" s="23" t="str">
        <x:v>PICNIC BASKET WICKER 60 PIECES</x:v>
      </x:c>
      <x:c r="E451" s="34" t="n">
        <x:v>17</x:v>
      </x:c>
      <x:c r="F451" s="55" t="n">
        <x:v>183.43</x:v>
      </x:c>
      <x:c r="G451" s="58" t="n">
        <x:f>E450</x:f>
        <x:v>1</x:v>
      </x:c>
      <x:c r="H451" s="58" t="n">
        <x:f>AVERAGE(E447:E450)</x:f>
        <x:v>43.5</x:v>
      </x:c>
      <x:c r="I451" s="58" t="n">
        <x:f>AVERAGE(E443:E450)</x:f>
        <x:v>66.875</x:v>
      </x:c>
      <x:c r="J451" s="58" t="n">
        <x:f>IF(G451="","",ABS(E451-G451))</x:f>
        <x:v>16</x:v>
      </x:c>
      <x:c r="K451" s="58" t="n">
        <x:f>IF(H451="","",ABS(E451-H451))</x:f>
        <x:v>26.5</x:v>
      </x:c>
      <x:c r="L451" s="58" t="n">
        <x:f>IF(I451="","",ABS(E451-I451))</x:f>
        <x:v>49.875</x:v>
      </x:c>
      <x:c r="M451" s="23" t="str">
        <x:f>IF(B451&gt;44,"Validation","Training")</x:f>
        <x:v>Training</x:v>
      </x:c>
      <x:c r="N451" s="61" t="n">
        <x:f>IF(OR(H451="",E451=0),"",K451/E451)</x:f>
        <x:v>1.5588235294117647</x:v>
      </x:c>
    </x:row>
    <x:row r="452">
      <x:c r="A452" s="28" t="n">
        <x:v>40735</x:v>
      </x:c>
      <x:c r="B452" s="23" t="n">
        <x:v>32</x:v>
      </x:c>
      <x:c r="C452" s="23" t="str">
        <x:v>22502</x:v>
      </x:c>
      <x:c r="D452" s="23" t="str">
        <x:v>PICNIC BASKET WICKER 60 PIECES</x:v>
      </x:c>
      <x:c r="E452" s="34" t="n">
        <x:v>4</x:v>
      </x:c>
      <x:c r="F452" s="55" t="n">
        <x:v>43.16</x:v>
      </x:c>
      <x:c r="G452" s="58" t="n">
        <x:f>E451</x:f>
        <x:v>17</x:v>
      </x:c>
      <x:c r="H452" s="58" t="n">
        <x:f>AVERAGE(E448:E451)</x:f>
        <x:v>9</x:v>
      </x:c>
      <x:c r="I452" s="58" t="n">
        <x:f>AVERAGE(E444:E451)</x:f>
        <x:v>42.25</x:v>
      </x:c>
      <x:c r="J452" s="58" t="n">
        <x:f>IF(G452="","",ABS(E452-G452))</x:f>
        <x:v>13</x:v>
      </x:c>
      <x:c r="K452" s="58" t="n">
        <x:f>IF(H452="","",ABS(E452-H452))</x:f>
        <x:v>5</x:v>
      </x:c>
      <x:c r="L452" s="58" t="n">
        <x:f>IF(I452="","",ABS(E452-I452))</x:f>
        <x:v>38.25</x:v>
      </x:c>
      <x:c r="M452" s="23" t="str">
        <x:f>IF(B452&gt;44,"Validation","Training")</x:f>
        <x:v>Training</x:v>
      </x:c>
      <x:c r="N452" s="61" t="n">
        <x:f>IF(OR(H452="",E452=0),"",K452/E452)</x:f>
        <x:v>1.25</x:v>
      </x:c>
    </x:row>
    <x:row r="453">
      <x:c r="A453" s="28" t="n">
        <x:v>40742</x:v>
      </x:c>
      <x:c r="B453" s="23" t="n">
        <x:v>33</x:v>
      </x:c>
      <x:c r="C453" s="23" t="str">
        <x:v>22502</x:v>
      </x:c>
      <x:c r="D453" s="23" t="str">
        <x:v>PICNIC BASKET WICKER 60 PIECES</x:v>
      </x:c>
      <x:c r="E453" s="34" t="n">
        <x:v>14</x:v>
      </x:c>
      <x:c r="F453" s="55" t="n">
        <x:v>151.06</x:v>
      </x:c>
      <x:c r="G453" s="58" t="n">
        <x:f>E452</x:f>
        <x:v>4</x:v>
      </x:c>
      <x:c r="H453" s="58" t="n">
        <x:f>AVERAGE(E449:E452)</x:f>
        <x:v>8</x:v>
      </x:c>
      <x:c r="I453" s="58" t="n">
        <x:f>AVERAGE(E445:E452)</x:f>
        <x:v>31</x:v>
      </x:c>
      <x:c r="J453" s="58" t="n">
        <x:f>IF(G453="","",ABS(E453-G453))</x:f>
        <x:v>10</x:v>
      </x:c>
      <x:c r="K453" s="58" t="n">
        <x:f>IF(H453="","",ABS(E453-H453))</x:f>
        <x:v>6</x:v>
      </x:c>
      <x:c r="L453" s="58" t="n">
        <x:f>IF(I453="","",ABS(E453-I453))</x:f>
        <x:v>17</x:v>
      </x:c>
      <x:c r="M453" s="23" t="str">
        <x:f>IF(B453&gt;44,"Validation","Training")</x:f>
        <x:v>Training</x:v>
      </x:c>
      <x:c r="N453" s="61" t="n">
        <x:f>IF(OR(H453="",E453=0),"",K453/E453)</x:f>
        <x:v>0.42857142857142855</x:v>
      </x:c>
    </x:row>
    <x:row r="454">
      <x:c r="A454" s="28" t="n">
        <x:v>40749</x:v>
      </x:c>
      <x:c r="B454" s="23" t="n">
        <x:v>34</x:v>
      </x:c>
      <x:c r="C454" s="23" t="str">
        <x:v>22502</x:v>
      </x:c>
      <x:c r="D454" s="23" t="str">
        <x:v>PICNIC BASKET WICKER 60 PIECES</x:v>
      </x:c>
      <x:c r="E454" s="34" t="n">
        <x:v>7</x:v>
      </x:c>
      <x:c r="F454" s="55" t="n">
        <x:v>61.01</x:v>
      </x:c>
      <x:c r="G454" s="58" t="n">
        <x:f>E453</x:f>
        <x:v>14</x:v>
      </x:c>
      <x:c r="H454" s="58" t="n">
        <x:f>AVERAGE(E450:E453)</x:f>
        <x:v>9</x:v>
      </x:c>
      <x:c r="I454" s="58" t="n">
        <x:f>AVERAGE(E446:E453)</x:f>
        <x:v>29.25</x:v>
      </x:c>
      <x:c r="J454" s="58" t="n">
        <x:f>IF(G454="","",ABS(E454-G454))</x:f>
        <x:v>7</x:v>
      </x:c>
      <x:c r="K454" s="58" t="n">
        <x:f>IF(H454="","",ABS(E454-H454))</x:f>
        <x:v>2</x:v>
      </x:c>
      <x:c r="L454" s="58" t="n">
        <x:f>IF(I454="","",ABS(E454-I454))</x:f>
        <x:v>22.25</x:v>
      </x:c>
      <x:c r="M454" s="23" t="str">
        <x:f>IF(B454&gt;44,"Validation","Training")</x:f>
        <x:v>Training</x:v>
      </x:c>
      <x:c r="N454" s="61" t="n">
        <x:f>IF(OR(H454="",E454=0),"",K454/E454)</x:f>
        <x:v>0.2857142857142857</x:v>
      </x:c>
    </x:row>
    <x:row r="455">
      <x:c r="A455" s="28" t="n">
        <x:v>40756</x:v>
      </x:c>
      <x:c r="B455" s="23" t="n">
        <x:v>35</x:v>
      </x:c>
      <x:c r="C455" s="23" t="str">
        <x:v>22502</x:v>
      </x:c>
      <x:c r="D455" s="23" t="str">
        <x:v>PICNIC BASKET WICKER 60 PIECES</x:v>
      </x:c>
      <x:c r="E455" s="34" t="n">
        <x:v>10</x:v>
      </x:c>
      <x:c r="F455" s="55" t="n">
        <x:v>64.34</x:v>
      </x:c>
      <x:c r="G455" s="58" t="n">
        <x:f>E454</x:f>
        <x:v>7</x:v>
      </x:c>
      <x:c r="H455" s="58" t="n">
        <x:f>AVERAGE(E451:E454)</x:f>
        <x:v>10.5</x:v>
      </x:c>
      <x:c r="I455" s="58" t="n">
        <x:f>AVERAGE(E447:E454)</x:f>
        <x:v>27</x:v>
      </x:c>
      <x:c r="J455" s="58" t="n">
        <x:f>IF(G455="","",ABS(E455-G455))</x:f>
        <x:v>3</x:v>
      </x:c>
      <x:c r="K455" s="58" t="n">
        <x:f>IF(H455="","",ABS(E455-H455))</x:f>
        <x:v>0.5</x:v>
      </x:c>
      <x:c r="L455" s="58" t="n">
        <x:f>IF(I455="","",ABS(E455-I455))</x:f>
        <x:v>17</x:v>
      </x:c>
      <x:c r="M455" s="23" t="str">
        <x:f>IF(B455&gt;44,"Validation","Training")</x:f>
        <x:v>Training</x:v>
      </x:c>
      <x:c r="N455" s="61" t="n">
        <x:f>IF(OR(H455="",E455=0),"",K455/E455)</x:f>
        <x:v>0.05</x:v>
      </x:c>
    </x:row>
    <x:row r="456">
      <x:c r="A456" s="28" t="n">
        <x:v>40763</x:v>
      </x:c>
      <x:c r="B456" s="23" t="n">
        <x:v>36</x:v>
      </x:c>
      <x:c r="C456" s="23" t="str">
        <x:v>22502</x:v>
      </x:c>
      <x:c r="D456" s="23" t="str">
        <x:v>PICNIC BASKET WICKER 60 PIECES</x:v>
      </x:c>
      <x:c r="E456" s="34" t="n">
        <x:v>9</x:v>
      </x:c>
      <x:c r="F456" s="55" t="n">
        <x:v>72.91</x:v>
      </x:c>
      <x:c r="G456" s="58" t="n">
        <x:f>E455</x:f>
        <x:v>10</x:v>
      </x:c>
      <x:c r="H456" s="58" t="n">
        <x:f>AVERAGE(E452:E455)</x:f>
        <x:v>8.75</x:v>
      </x:c>
      <x:c r="I456" s="58" t="n">
        <x:f>AVERAGE(E448:E455)</x:f>
        <x:v>8.875</x:v>
      </x:c>
      <x:c r="J456" s="58" t="n">
        <x:f>IF(G456="","",ABS(E456-G456))</x:f>
        <x:v>1</x:v>
      </x:c>
      <x:c r="K456" s="58" t="n">
        <x:f>IF(H456="","",ABS(E456-H456))</x:f>
        <x:v>0.25</x:v>
      </x:c>
      <x:c r="L456" s="58" t="n">
        <x:f>IF(I456="","",ABS(E456-I456))</x:f>
        <x:v>0.125</x:v>
      </x:c>
      <x:c r="M456" s="23" t="str">
        <x:f>IF(B456&gt;44,"Validation","Training")</x:f>
        <x:v>Training</x:v>
      </x:c>
      <x:c r="N456" s="61" t="n">
        <x:f>IF(OR(H456="",E456=0),"",K456/E456)</x:f>
        <x:v>0.027777777777777776</x:v>
      </x:c>
    </x:row>
    <x:row r="457">
      <x:c r="A457" s="28" t="n">
        <x:v>40770</x:v>
      </x:c>
      <x:c r="B457" s="23" t="n">
        <x:v>37</x:v>
      </x:c>
      <x:c r="C457" s="23" t="str">
        <x:v>22502</x:v>
      </x:c>
      <x:c r="D457" s="23" t="str">
        <x:v>PICNIC BASKET WICKER 60 PIECES</x:v>
      </x:c>
      <x:c r="E457" s="34" t="n">
        <x:v>7</x:v>
      </x:c>
      <x:c r="F457" s="55" t="n">
        <x:v>41.65</x:v>
      </x:c>
      <x:c r="G457" s="58" t="n">
        <x:f>E456</x:f>
        <x:v>9</x:v>
      </x:c>
      <x:c r="H457" s="58" t="n">
        <x:f>AVERAGE(E453:E456)</x:f>
        <x:v>10</x:v>
      </x:c>
      <x:c r="I457" s="58" t="n">
        <x:f>AVERAGE(E449:E456)</x:f>
        <x:v>9</x:v>
      </x:c>
      <x:c r="J457" s="58" t="n">
        <x:f>IF(G457="","",ABS(E457-G457))</x:f>
        <x:v>2</x:v>
      </x:c>
      <x:c r="K457" s="58" t="n">
        <x:f>IF(H457="","",ABS(E457-H457))</x:f>
        <x:v>3</x:v>
      </x:c>
      <x:c r="L457" s="58" t="n">
        <x:f>IF(I457="","",ABS(E457-I457))</x:f>
        <x:v>2</x:v>
      </x:c>
      <x:c r="M457" s="23" t="str">
        <x:f>IF(B457&gt;44,"Validation","Training")</x:f>
        <x:v>Training</x:v>
      </x:c>
      <x:c r="N457" s="61" t="n">
        <x:f>IF(OR(H457="",E457=0),"",K457/E457)</x:f>
        <x:v>0.42857142857142855</x:v>
      </x:c>
    </x:row>
    <x:row r="458">
      <x:c r="A458" s="28" t="n">
        <x:v>40777</x:v>
      </x:c>
      <x:c r="B458" s="23" t="n">
        <x:v>38</x:v>
      </x:c>
      <x:c r="C458" s="23" t="str">
        <x:v>22502</x:v>
      </x:c>
      <x:c r="D458" s="23" t="str">
        <x:v>PICNIC BASKET WICKER 60 PIECES</x:v>
      </x:c>
      <x:c r="E458" s="34" t="n">
        <x:v>2</x:v>
      </x:c>
      <x:c r="F458" s="55" t="n">
        <x:v>11.9</x:v>
      </x:c>
      <x:c r="G458" s="58" t="n">
        <x:f>E457</x:f>
        <x:v>7</x:v>
      </x:c>
      <x:c r="H458" s="58" t="n">
        <x:f>AVERAGE(E454:E457)</x:f>
        <x:v>8.25</x:v>
      </x:c>
      <x:c r="I458" s="58" t="n">
        <x:f>AVERAGE(E450:E457)</x:f>
        <x:v>8.625</x:v>
      </x:c>
      <x:c r="J458" s="58" t="n">
        <x:f>IF(G458="","",ABS(E458-G458))</x:f>
        <x:v>5</x:v>
      </x:c>
      <x:c r="K458" s="58" t="n">
        <x:f>IF(H458="","",ABS(E458-H458))</x:f>
        <x:v>6.25</x:v>
      </x:c>
      <x:c r="L458" s="58" t="n">
        <x:f>IF(I458="","",ABS(E458-I458))</x:f>
        <x:v>6.625</x:v>
      </x:c>
      <x:c r="M458" s="23" t="str">
        <x:f>IF(B458&gt;44,"Validation","Training")</x:f>
        <x:v>Training</x:v>
      </x:c>
      <x:c r="N458" s="61" t="n">
        <x:f>IF(OR(H458="",E458=0),"",K458/E458)</x:f>
        <x:v>3.125</x:v>
      </x:c>
    </x:row>
    <x:row r="459">
      <x:c r="A459" s="28" t="n">
        <x:v>40784</x:v>
      </x:c>
      <x:c r="B459" s="23" t="n">
        <x:v>39</x:v>
      </x:c>
      <x:c r="C459" s="23" t="str">
        <x:v>22502</x:v>
      </x:c>
      <x:c r="D459" s="23" t="str">
        <x:v>PICNIC BASKET WICKER 60 PIECES</x:v>
      </x:c>
      <x:c r="E459" s="34" t="n">
        <x:v>5</x:v>
      </x:c>
      <x:c r="F459" s="55" t="n">
        <x:v>29.75</x:v>
      </x:c>
      <x:c r="G459" s="58" t="n">
        <x:f>E458</x:f>
        <x:v>2</x:v>
      </x:c>
      <x:c r="H459" s="58" t="n">
        <x:f>AVERAGE(E455:E458)</x:f>
        <x:v>7</x:v>
      </x:c>
      <x:c r="I459" s="58" t="n">
        <x:f>AVERAGE(E451:E458)</x:f>
        <x:v>8.75</x:v>
      </x:c>
      <x:c r="J459" s="58" t="n">
        <x:f>IF(G459="","",ABS(E459-G459))</x:f>
        <x:v>3</x:v>
      </x:c>
      <x:c r="K459" s="58" t="n">
        <x:f>IF(H459="","",ABS(E459-H459))</x:f>
        <x:v>2</x:v>
      </x:c>
      <x:c r="L459" s="58" t="n">
        <x:f>IF(I459="","",ABS(E459-I459))</x:f>
        <x:v>3.75</x:v>
      </x:c>
      <x:c r="M459" s="23" t="str">
        <x:f>IF(B459&gt;44,"Validation","Training")</x:f>
        <x:v>Training</x:v>
      </x:c>
      <x:c r="N459" s="61" t="n">
        <x:f>IF(OR(H459="",E459=0),"",K459/E459)</x:f>
        <x:v>0.4</x:v>
      </x:c>
    </x:row>
    <x:row r="460">
      <x:c r="A460" s="28" t="n">
        <x:v>40791</x:v>
      </x:c>
      <x:c r="B460" s="23" t="n">
        <x:v>40</x:v>
      </x:c>
      <x:c r="C460" s="23" t="str">
        <x:v>22502</x:v>
      </x:c>
      <x:c r="D460" s="23" t="str">
        <x:v>PICNIC BASKET WICKER 60 PIECES</x:v>
      </x:c>
      <x:c r="E460" s="34" t="n">
        <x:v>0</x:v>
      </x:c>
      <x:c r="F460" s="55" t="n">
        <x:v>0</x:v>
      </x:c>
      <x:c r="G460" s="58" t="n">
        <x:f>E459</x:f>
        <x:v>5</x:v>
      </x:c>
      <x:c r="H460" s="58" t="n">
        <x:f>AVERAGE(E456:E459)</x:f>
        <x:v>5.75</x:v>
      </x:c>
      <x:c r="I460" s="58" t="n">
        <x:f>AVERAGE(E452:E459)</x:f>
        <x:v>7.25</x:v>
      </x:c>
      <x:c r="J460" s="58" t="n">
        <x:f>IF(G460="","",ABS(E460-G460))</x:f>
        <x:v>5</x:v>
      </x:c>
      <x:c r="K460" s="58" t="n">
        <x:f>IF(H460="","",ABS(E460-H460))</x:f>
        <x:v>5.75</x:v>
      </x:c>
      <x:c r="L460" s="58" t="n">
        <x:f>IF(I460="","",ABS(E460-I460))</x:f>
        <x:v>7.25</x:v>
      </x:c>
      <x:c r="M460" s="23" t="str">
        <x:f>IF(B460&gt;44,"Validation","Training")</x:f>
        <x:v>Training</x:v>
      </x:c>
      <x:c r="N460" s="61" t="str">
        <x:f>IF(OR(H460="",E460=0),"",K460/E460)</x:f>
      </x:c>
    </x:row>
    <x:row r="461">
      <x:c r="A461" s="28" t="n">
        <x:v>40798</x:v>
      </x:c>
      <x:c r="B461" s="23" t="n">
        <x:v>41</x:v>
      </x:c>
      <x:c r="C461" s="23" t="str">
        <x:v>22502</x:v>
      </x:c>
      <x:c r="D461" s="23" t="str">
        <x:v>PICNIC BASKET WICKER 60 PIECES</x:v>
      </x:c>
      <x:c r="E461" s="34" t="n">
        <x:v>2</x:v>
      </x:c>
      <x:c r="F461" s="55" t="n">
        <x:v>11.9</x:v>
      </x:c>
      <x:c r="G461" s="58" t="n">
        <x:f>E460</x:f>
        <x:v>0</x:v>
      </x:c>
      <x:c r="H461" s="58" t="n">
        <x:f>AVERAGE(E457:E460)</x:f>
        <x:v>3.5</x:v>
      </x:c>
      <x:c r="I461" s="58" t="n">
        <x:f>AVERAGE(E453:E460)</x:f>
        <x:v>6.75</x:v>
      </x:c>
      <x:c r="J461" s="58" t="str">
        <x:f>IF(G461="","",ABS(E461-G461))</x:f>
      </x:c>
      <x:c r="K461" s="58" t="n">
        <x:f>IF(H461="","",ABS(E461-H461))</x:f>
        <x:v>1.5</x:v>
      </x:c>
      <x:c r="L461" s="58" t="n">
        <x:f>IF(I461="","",ABS(E461-I461))</x:f>
        <x:v>4.75</x:v>
      </x:c>
      <x:c r="M461" s="23" t="str">
        <x:f>IF(B461&gt;44,"Validation","Training")</x:f>
        <x:v>Training</x:v>
      </x:c>
      <x:c r="N461" s="61" t="n">
        <x:f>IF(OR(H461="",E461=0),"",K461/E461)</x:f>
        <x:v>0.75</x:v>
      </x:c>
    </x:row>
    <x:row r="462">
      <x:c r="A462" s="28" t="n">
        <x:v>40805</x:v>
      </x:c>
      <x:c r="B462" s="23" t="n">
        <x:v>42</x:v>
      </x:c>
      <x:c r="C462" s="23" t="str">
        <x:v>22502</x:v>
      </x:c>
      <x:c r="D462" s="23" t="str">
        <x:v>PICNIC BASKET WICKER 60 PIECES</x:v>
      </x:c>
      <x:c r="E462" s="34" t="n">
        <x:v>1</x:v>
      </x:c>
      <x:c r="F462" s="55" t="n">
        <x:v>2</x:v>
      </x:c>
      <x:c r="G462" s="58" t="n">
        <x:f>E461</x:f>
        <x:v>2</x:v>
      </x:c>
      <x:c r="H462" s="58" t="n">
        <x:f>AVERAGE(E458:E461)</x:f>
        <x:v>2.25</x:v>
      </x:c>
      <x:c r="I462" s="58" t="n">
        <x:f>AVERAGE(E454:E461)</x:f>
        <x:v>5.25</x:v>
      </x:c>
      <x:c r="J462" s="58" t="n">
        <x:f>IF(G462="","",ABS(E462-G462))</x:f>
        <x:v>1</x:v>
      </x:c>
      <x:c r="K462" s="58" t="n">
        <x:f>IF(H462="","",ABS(E462-H462))</x:f>
        <x:v>1.25</x:v>
      </x:c>
      <x:c r="L462" s="58" t="n">
        <x:f>IF(I462="","",ABS(E462-I462))</x:f>
        <x:v>4.25</x:v>
      </x:c>
      <x:c r="M462" s="23" t="str">
        <x:f>IF(B462&gt;44,"Validation","Training")</x:f>
        <x:v>Training</x:v>
      </x:c>
      <x:c r="N462" s="61" t="n">
        <x:f>IF(OR(H462="",E462=0),"",K462/E462)</x:f>
        <x:v>1.25</x:v>
      </x:c>
    </x:row>
    <x:row r="463">
      <x:c r="A463" s="28" t="n">
        <x:v>40812</x:v>
      </x:c>
      <x:c r="B463" s="23" t="n">
        <x:v>43</x:v>
      </x:c>
      <x:c r="C463" s="23" t="str">
        <x:v>22502</x:v>
      </x:c>
      <x:c r="D463" s="23" t="str">
        <x:v>PICNIC BASKET WICKER 60 PIECES</x:v>
      </x:c>
      <x:c r="E463" s="34" t="n">
        <x:v>0</x:v>
      </x:c>
      <x:c r="F463" s="55" t="n">
        <x:v>0</x:v>
      </x:c>
      <x:c r="G463" s="58" t="n">
        <x:f>E462</x:f>
        <x:v>1</x:v>
      </x:c>
      <x:c r="H463" s="58" t="n">
        <x:f>AVERAGE(E459:E462)</x:f>
        <x:v>2</x:v>
      </x:c>
      <x:c r="I463" s="58" t="n">
        <x:f>AVERAGE(E455:E462)</x:f>
        <x:v>4.5</x:v>
      </x:c>
      <x:c r="J463" s="58" t="n">
        <x:f>IF(G463="","",ABS(E463-G463))</x:f>
        <x:v>1</x:v>
      </x:c>
      <x:c r="K463" s="58" t="n">
        <x:f>IF(H463="","",ABS(E463-H463))</x:f>
        <x:v>2</x:v>
      </x:c>
      <x:c r="L463" s="58" t="n">
        <x:f>IF(I463="","",ABS(E463-I463))</x:f>
        <x:v>4.5</x:v>
      </x:c>
      <x:c r="M463" s="23" t="str">
        <x:f>IF(B463&gt;44,"Validation","Training")</x:f>
        <x:v>Training</x:v>
      </x:c>
      <x:c r="N463" s="61" t="str">
        <x:f>IF(OR(H463="",E463=0),"",K463/E463)</x:f>
      </x:c>
    </x:row>
    <x:row r="464">
      <x:c r="A464" s="28" t="n">
        <x:v>40819</x:v>
      </x:c>
      <x:c r="B464" s="23" t="n">
        <x:v>44</x:v>
      </x:c>
      <x:c r="C464" s="23" t="str">
        <x:v>22502</x:v>
      </x:c>
      <x:c r="D464" s="23" t="str">
        <x:v>PICNIC BASKET WICKER 60 PIECES</x:v>
      </x:c>
      <x:c r="E464" s="34" t="n">
        <x:v>0</x:v>
      </x:c>
      <x:c r="F464" s="55" t="n">
        <x:v>0</x:v>
      </x:c>
      <x:c r="G464" s="58" t="n">
        <x:f>E463</x:f>
        <x:v>0</x:v>
      </x:c>
      <x:c r="H464" s="58" t="n">
        <x:f>AVERAGE(E460:E463)</x:f>
        <x:v>0.75</x:v>
      </x:c>
      <x:c r="I464" s="58" t="n">
        <x:f>AVERAGE(E456:E463)</x:f>
        <x:v>3.25</x:v>
      </x:c>
      <x:c r="J464" s="58" t="str">
        <x:f>IF(G464="","",ABS(E464-G464))</x:f>
      </x:c>
      <x:c r="K464" s="58" t="n">
        <x:f>IF(H464="","",ABS(E464-H464))</x:f>
        <x:v>0.75</x:v>
      </x:c>
      <x:c r="L464" s="58" t="n">
        <x:f>IF(I464="","",ABS(E464-I464))</x:f>
        <x:v>3.25</x:v>
      </x:c>
      <x:c r="M464" s="23" t="str">
        <x:f>IF(B464&gt;44,"Validation","Training")</x:f>
        <x:v>Training</x:v>
      </x:c>
      <x:c r="N464" s="61" t="str">
        <x:f>IF(OR(H464="",E464=0),"",K464/E464)</x:f>
      </x:c>
    </x:row>
    <x:row r="465">
      <x:c r="A465" s="28" t="n">
        <x:v>40826</x:v>
      </x:c>
      <x:c r="B465" s="23" t="n">
        <x:v>45</x:v>
      </x:c>
      <x:c r="C465" s="23" t="str">
        <x:v>22502</x:v>
      </x:c>
      <x:c r="D465" s="23" t="str">
        <x:v>PICNIC BASKET WICKER 60 PIECES</x:v>
      </x:c>
      <x:c r="E465" s="34" t="n">
        <x:v>0</x:v>
      </x:c>
      <x:c r="F465" s="55" t="n">
        <x:v>0</x:v>
      </x:c>
      <x:c r="G465" s="58" t="n">
        <x:f>E464</x:f>
        <x:v>0</x:v>
      </x:c>
      <x:c r="H465" s="58" t="n">
        <x:f>AVERAGE(E461:E464)</x:f>
        <x:v>0.75</x:v>
      </x:c>
      <x:c r="I465" s="58" t="n">
        <x:f>AVERAGE(E457:E464)</x:f>
        <x:v>2.125</x:v>
      </x:c>
      <x:c r="J465" s="58" t="str">
        <x:f>IF(G465="","",ABS(E465-G465))</x:f>
      </x:c>
      <x:c r="K465" s="58" t="n">
        <x:f>IF(H465="","",ABS(E465-H465))</x:f>
        <x:v>0.75</x:v>
      </x:c>
      <x:c r="L465" s="58" t="n">
        <x:f>IF(I465="","",ABS(E465-I465))</x:f>
        <x:v>2.125</x:v>
      </x:c>
      <x:c r="M465" s="23" t="str">
        <x:f>IF(B465&gt;44,"Validation","Training")</x:f>
        <x:v>Validation</x:v>
      </x:c>
      <x:c r="N465" s="61" t="str">
        <x:f>IF(OR(H465="",E465=0),"",K465/E465)</x:f>
      </x:c>
    </x:row>
    <x:row r="466">
      <x:c r="A466" s="28" t="n">
        <x:v>40833</x:v>
      </x:c>
      <x:c r="B466" s="23" t="n">
        <x:v>46</x:v>
      </x:c>
      <x:c r="C466" s="23" t="str">
        <x:v>22502</x:v>
      </x:c>
      <x:c r="D466" s="23" t="str">
        <x:v>PICNIC BASKET WICKER 60 PIECES</x:v>
      </x:c>
      <x:c r="E466" s="34" t="n">
        <x:v>0</x:v>
      </x:c>
      <x:c r="F466" s="55" t="n">
        <x:v>0</x:v>
      </x:c>
      <x:c r="G466" s="58" t="n">
        <x:f>E465</x:f>
        <x:v>0</x:v>
      </x:c>
      <x:c r="H466" s="58" t="n">
        <x:f>AVERAGE(E462:E465)</x:f>
        <x:v>0.25</x:v>
      </x:c>
      <x:c r="I466" s="58" t="n">
        <x:f>AVERAGE(E458:E465)</x:f>
        <x:v>1.25</x:v>
      </x:c>
      <x:c r="J466" s="58" t="str">
        <x:f>IF(G466="","",ABS(E466-G466))</x:f>
      </x:c>
      <x:c r="K466" s="58" t="n">
        <x:f>IF(H466="","",ABS(E466-H466))</x:f>
        <x:v>0.25</x:v>
      </x:c>
      <x:c r="L466" s="58" t="n">
        <x:f>IF(I466="","",ABS(E466-I466))</x:f>
        <x:v>1.25</x:v>
      </x:c>
      <x:c r="M466" s="23" t="str">
        <x:f>IF(B466&gt;44,"Validation","Training")</x:f>
        <x:v>Validation</x:v>
      </x:c>
      <x:c r="N466" s="61" t="str">
        <x:f>IF(OR(H466="",E466=0),"",K466/E466)</x:f>
      </x:c>
    </x:row>
    <x:row r="467">
      <x:c r="A467" s="28" t="n">
        <x:v>40840</x:v>
      </x:c>
      <x:c r="B467" s="23" t="n">
        <x:v>47</x:v>
      </x:c>
      <x:c r="C467" s="23" t="str">
        <x:v>22502</x:v>
      </x:c>
      <x:c r="D467" s="23" t="str">
        <x:v>PICNIC BASKET WICKER 60 PIECES</x:v>
      </x:c>
      <x:c r="E467" s="34" t="n">
        <x:v>0</x:v>
      </x:c>
      <x:c r="F467" s="55" t="n">
        <x:v>0</x:v>
      </x:c>
      <x:c r="G467" s="58" t="n">
        <x:f>E466</x:f>
        <x:v>0</x:v>
      </x:c>
      <x:c r="H467" s="58" t="n">
        <x:f>AVERAGE(E463:E466)</x:f>
        <x:v>0</x:v>
      </x:c>
      <x:c r="I467" s="58" t="n">
        <x:f>AVERAGE(E459:E466)</x:f>
        <x:v>1</x:v>
      </x:c>
      <x:c r="J467" s="58" t="str">
        <x:f>IF(G467="","",ABS(E467-G467))</x:f>
      </x:c>
      <x:c r="K467" s="58" t="str">
        <x:f>IF(H467="","",ABS(E467-H467))</x:f>
      </x:c>
      <x:c r="L467" s="58" t="n">
        <x:f>IF(I467="","",ABS(E467-I467))</x:f>
        <x:v>1</x:v>
      </x:c>
      <x:c r="M467" s="23" t="str">
        <x:f>IF(B467&gt;44,"Validation","Training")</x:f>
        <x:v>Validation</x:v>
      </x:c>
      <x:c r="N467" s="61" t="str">
        <x:f>IF(OR(H467="",E467=0),"",K467/E467)</x:f>
      </x:c>
    </x:row>
    <x:row r="468">
      <x:c r="A468" s="28" t="n">
        <x:v>40847</x:v>
      </x:c>
      <x:c r="B468" s="23" t="n">
        <x:v>48</x:v>
      </x:c>
      <x:c r="C468" s="23" t="str">
        <x:v>22502</x:v>
      </x:c>
      <x:c r="D468" s="23" t="str">
        <x:v>PICNIC BASKET WICKER 60 PIECES</x:v>
      </x:c>
      <x:c r="E468" s="34" t="n">
        <x:v>0</x:v>
      </x:c>
      <x:c r="F468" s="55" t="n">
        <x:v>0</x:v>
      </x:c>
      <x:c r="G468" s="58" t="n">
        <x:f>E467</x:f>
        <x:v>0</x:v>
      </x:c>
      <x:c r="H468" s="58" t="n">
        <x:f>AVERAGE(E464:E467)</x:f>
        <x:v>0</x:v>
      </x:c>
      <x:c r="I468" s="58" t="n">
        <x:f>AVERAGE(E460:E467)</x:f>
        <x:v>0.375</x:v>
      </x:c>
      <x:c r="J468" s="58" t="str">
        <x:f>IF(G468="","",ABS(E468-G468))</x:f>
      </x:c>
      <x:c r="K468" s="58" t="str">
        <x:f>IF(H468="","",ABS(E468-H468))</x:f>
      </x:c>
      <x:c r="L468" s="58" t="n">
        <x:f>IF(I468="","",ABS(E468-I468))</x:f>
        <x:v>0.375</x:v>
      </x:c>
      <x:c r="M468" s="23" t="str">
        <x:f>IF(B468&gt;44,"Validation","Training")</x:f>
        <x:v>Validation</x:v>
      </x:c>
      <x:c r="N468" s="61" t="str">
        <x:f>IF(OR(H468="",E468=0),"",K468/E468)</x:f>
      </x:c>
    </x:row>
    <x:row r="469">
      <x:c r="A469" s="28" t="n">
        <x:v>40854</x:v>
      </x:c>
      <x:c r="B469" s="23" t="n">
        <x:v>49</x:v>
      </x:c>
      <x:c r="C469" s="23" t="str">
        <x:v>22502</x:v>
      </x:c>
      <x:c r="D469" s="23" t="str">
        <x:v>PICNIC BASKET WICKER 60 PIECES</x:v>
      </x:c>
      <x:c r="E469" s="34" t="n">
        <x:v>0</x:v>
      </x:c>
      <x:c r="F469" s="55" t="n">
        <x:v>0</x:v>
      </x:c>
      <x:c r="G469" s="58" t="n">
        <x:f>E468</x:f>
        <x:v>0</x:v>
      </x:c>
      <x:c r="H469" s="58" t="n">
        <x:f>AVERAGE(E465:E468)</x:f>
        <x:v>0</x:v>
      </x:c>
      <x:c r="I469" s="58" t="n">
        <x:f>AVERAGE(E461:E468)</x:f>
        <x:v>0.375</x:v>
      </x:c>
      <x:c r="J469" s="58" t="str">
        <x:f>IF(G469="","",ABS(E469-G469))</x:f>
      </x:c>
      <x:c r="K469" s="58" t="str">
        <x:f>IF(H469="","",ABS(E469-H469))</x:f>
      </x:c>
      <x:c r="L469" s="58" t="n">
        <x:f>IF(I469="","",ABS(E469-I469))</x:f>
        <x:v>0.375</x:v>
      </x:c>
      <x:c r="M469" s="23" t="str">
        <x:f>IF(B469&gt;44,"Validation","Training")</x:f>
        <x:v>Validation</x:v>
      </x:c>
      <x:c r="N469" s="61" t="str">
        <x:f>IF(OR(H469="",E469=0),"",K469/E469)</x:f>
      </x:c>
    </x:row>
    <x:row r="470">
      <x:c r="A470" s="28" t="n">
        <x:v>40861</x:v>
      </x:c>
      <x:c r="B470" s="23" t="n">
        <x:v>50</x:v>
      </x:c>
      <x:c r="C470" s="23" t="str">
        <x:v>22502</x:v>
      </x:c>
      <x:c r="D470" s="23" t="str">
        <x:v>PICNIC BASKET WICKER 60 PIECES</x:v>
      </x:c>
      <x:c r="E470" s="34" t="n">
        <x:v>0</x:v>
      </x:c>
      <x:c r="F470" s="55" t="n">
        <x:v>0</x:v>
      </x:c>
      <x:c r="G470" s="58" t="n">
        <x:f>E469</x:f>
        <x:v>0</x:v>
      </x:c>
      <x:c r="H470" s="58" t="n">
        <x:f>AVERAGE(E466:E469)</x:f>
        <x:v>0</x:v>
      </x:c>
      <x:c r="I470" s="58" t="n">
        <x:f>AVERAGE(E462:E469)</x:f>
        <x:v>0.125</x:v>
      </x:c>
      <x:c r="J470" s="58" t="str">
        <x:f>IF(G470="","",ABS(E470-G470))</x:f>
      </x:c>
      <x:c r="K470" s="58" t="str">
        <x:f>IF(H470="","",ABS(E470-H470))</x:f>
      </x:c>
      <x:c r="L470" s="58" t="n">
        <x:f>IF(I470="","",ABS(E470-I470))</x:f>
        <x:v>0.125</x:v>
      </x:c>
      <x:c r="M470" s="23" t="str">
        <x:f>IF(B470&gt;44,"Validation","Training")</x:f>
        <x:v>Validation</x:v>
      </x:c>
      <x:c r="N470" s="61" t="str">
        <x:f>IF(OR(H470="",E470=0),"",K470/E470)</x:f>
      </x:c>
    </x:row>
    <x:row r="471">
      <x:c r="A471" s="28" t="n">
        <x:v>40868</x:v>
      </x:c>
      <x:c r="B471" s="23" t="n">
        <x:v>51</x:v>
      </x:c>
      <x:c r="C471" s="23" t="str">
        <x:v>22502</x:v>
      </x:c>
      <x:c r="D471" s="23" t="str">
        <x:v>PICNIC BASKET WICKER 60 PIECES</x:v>
      </x:c>
      <x:c r="E471" s="34" t="n">
        <x:v>0</x:v>
      </x:c>
      <x:c r="F471" s="55" t="n">
        <x:v>0</x:v>
      </x:c>
      <x:c r="G471" s="58" t="n">
        <x:f>E470</x:f>
        <x:v>0</x:v>
      </x:c>
      <x:c r="H471" s="58" t="n">
        <x:f>AVERAGE(E467:E470)</x:f>
        <x:v>0</x:v>
      </x:c>
      <x:c r="I471" s="58" t="n">
        <x:f>AVERAGE(E463:E470)</x:f>
        <x:v>0</x:v>
      </x:c>
      <x:c r="J471" s="58" t="str">
        <x:f>IF(G471="","",ABS(E471-G471))</x:f>
      </x:c>
      <x:c r="K471" s="58" t="str">
        <x:f>IF(H471="","",ABS(E471-H471))</x:f>
      </x:c>
      <x:c r="L471" s="58" t="str">
        <x:f>IF(I471="","",ABS(E471-I471))</x:f>
      </x:c>
      <x:c r="M471" s="23" t="str">
        <x:f>IF(B471&gt;44,"Validation","Training")</x:f>
        <x:v>Validation</x:v>
      </x:c>
      <x:c r="N471" s="61" t="str">
        <x:f>IF(OR(H471="",E471=0),"",K471/E471)</x:f>
      </x:c>
    </x:row>
    <x:row r="472">
      <x:c r="A472" s="28" t="n">
        <x:v>40875</x:v>
      </x:c>
      <x:c r="B472" s="23" t="n">
        <x:v>52</x:v>
      </x:c>
      <x:c r="C472" s="23" t="str">
        <x:v>22502</x:v>
      </x:c>
      <x:c r="D472" s="23" t="str">
        <x:v>PICNIC BASKET WICKER 60 PIECES</x:v>
      </x:c>
      <x:c r="E472" s="34" t="n">
        <x:v>0</x:v>
      </x:c>
      <x:c r="F472" s="55" t="n">
        <x:v>0</x:v>
      </x:c>
      <x:c r="G472" s="58" t="n">
        <x:f>E471</x:f>
        <x:v>0</x:v>
      </x:c>
      <x:c r="H472" s="58" t="n">
        <x:f>AVERAGE(E468:E471)</x:f>
        <x:v>0</x:v>
      </x:c>
      <x:c r="I472" s="58" t="n">
        <x:f>AVERAGE(E464:E471)</x:f>
        <x:v>0</x:v>
      </x:c>
      <x:c r="J472" s="58" t="str">
        <x:f>IF(G472="","",ABS(E472-G472))</x:f>
      </x:c>
      <x:c r="K472" s="58" t="str">
        <x:f>IF(H472="","",ABS(E472-H472))</x:f>
      </x:c>
      <x:c r="L472" s="58" t="str">
        <x:f>IF(I472="","",ABS(E472-I472))</x:f>
      </x:c>
      <x:c r="M472" s="23" t="str">
        <x:f>IF(B472&gt;44,"Validation","Training")</x:f>
        <x:v>Validation</x:v>
      </x:c>
      <x:c r="N472" s="61" t="str">
        <x:f>IF(OR(H472="",E472=0),"",K472/E472)</x:f>
      </x:c>
    </x:row>
    <x:row r="473">
      <x:c r="A473" s="28" t="n">
        <x:v>40518</x:v>
      </x:c>
      <x:c r="B473" s="23" t="n">
        <x:v>1</x:v>
      </x:c>
      <x:c r="C473" s="23" t="str">
        <x:v>79321</x:v>
      </x:c>
      <x:c r="D473" s="23" t="str">
        <x:v>CHILLI LIGHTS</x:v>
      </x:c>
      <x:c r="E473" s="34" t="n">
        <x:v>337</x:v>
      </x:c>
      <x:c r="F473" s="55" t="n">
        <x:v>1973.63</x:v>
      </x:c>
      <x:c r="G473" s="58" t="str">
        <x:f>""</x:f>
      </x:c>
      <x:c r="H473" s="58" t="str">
        <x:f>""</x:f>
      </x:c>
      <x:c r="I473" s="58" t="str">
        <x:f>""</x:f>
      </x:c>
      <x:c r="J473" s="58" t="str">
        <x:f>IF(G473="","",ABS(E473-G473))</x:f>
      </x:c>
      <x:c r="K473" s="58" t="str">
        <x:f>IF(H473="","",ABS(E473-H473))</x:f>
      </x:c>
      <x:c r="L473" s="58" t="str">
        <x:f>IF(I473="","",ABS(E473-I473))</x:f>
      </x:c>
      <x:c r="M473" s="23" t="str">
        <x:f>IF(B473&gt;44,"Validation","Training")</x:f>
        <x:v>Training</x:v>
      </x:c>
      <x:c r="N473" s="61" t="str">
        <x:f>IF(OR(H473="",E473=0),"",K473/E473)</x:f>
      </x:c>
    </x:row>
    <x:row r="474">
      <x:c r="A474" s="28" t="n">
        <x:v>40525</x:v>
      </x:c>
      <x:c r="B474" s="23" t="n">
        <x:v>2</x:v>
      </x:c>
      <x:c r="C474" s="23" t="str">
        <x:v>79321</x:v>
      </x:c>
      <x:c r="D474" s="23" t="str">
        <x:v>CHILLI LIGHTS</x:v>
      </x:c>
      <x:c r="E474" s="34" t="n">
        <x:v>589</x:v>
      </x:c>
      <x:c r="F474" s="55" t="n">
        <x:v>2494.07</x:v>
      </x:c>
      <x:c r="G474" s="58" t="n">
        <x:f>E473</x:f>
        <x:v>337</x:v>
      </x:c>
      <x:c r="H474" s="58" t="str">
        <x:f>""</x:f>
      </x:c>
      <x:c r="I474" s="58" t="str">
        <x:f>""</x:f>
      </x:c>
      <x:c r="J474" s="58" t="n">
        <x:f>IF(G474="","",ABS(E474-G474))</x:f>
        <x:v>252</x:v>
      </x:c>
      <x:c r="K474" s="58" t="str">
        <x:f>IF(H474="","",ABS(E474-H474))</x:f>
      </x:c>
      <x:c r="L474" s="58" t="str">
        <x:f>IF(I474="","",ABS(E474-I474))</x:f>
      </x:c>
      <x:c r="M474" s="23" t="str">
        <x:f>IF(B474&gt;44,"Validation","Training")</x:f>
        <x:v>Training</x:v>
      </x:c>
      <x:c r="N474" s="61" t="str">
        <x:f>IF(OR(H474="",E474=0),"",K474/E474)</x:f>
      </x:c>
    </x:row>
    <x:row r="475">
      <x:c r="A475" s="28" t="n">
        <x:v>40532</x:v>
      </x:c>
      <x:c r="B475" s="23" t="n">
        <x:v>3</x:v>
      </x:c>
      <x:c r="C475" s="23" t="str">
        <x:v>79321</x:v>
      </x:c>
      <x:c r="D475" s="23" t="str">
        <x:v>CHILLI LIGHTS</x:v>
      </x:c>
      <x:c r="E475" s="34" t="n">
        <x:v>60</x:v>
      </x:c>
      <x:c r="F475" s="55" t="n">
        <x:v>279.06</x:v>
      </x:c>
      <x:c r="G475" s="58" t="n">
        <x:f>E474</x:f>
        <x:v>589</x:v>
      </x:c>
      <x:c r="H475" s="58" t="str">
        <x:f>""</x:f>
      </x:c>
      <x:c r="I475" s="58" t="str">
        <x:f>""</x:f>
      </x:c>
      <x:c r="J475" s="58" t="n">
        <x:f>IF(G475="","",ABS(E475-G475))</x:f>
        <x:v>529</x:v>
      </x:c>
      <x:c r="K475" s="58" t="str">
        <x:f>IF(H475="","",ABS(E475-H475))</x:f>
      </x:c>
      <x:c r="L475" s="58" t="str">
        <x:f>IF(I475="","",ABS(E475-I475))</x:f>
      </x:c>
      <x:c r="M475" s="23" t="str">
        <x:f>IF(B475&gt;44,"Validation","Training")</x:f>
        <x:v>Training</x:v>
      </x:c>
      <x:c r="N475" s="61" t="str">
        <x:f>IF(OR(H475="",E475=0),"",K475/E475)</x:f>
      </x:c>
    </x:row>
    <x:row r="476">
      <x:c r="A476" s="28" t="n">
        <x:v>40539</x:v>
      </x:c>
      <x:c r="B476" s="23" t="n">
        <x:v>4</x:v>
      </x:c>
      <x:c r="C476" s="23" t="str">
        <x:v>79321</x:v>
      </x:c>
      <x:c r="D476" s="23" t="str">
        <x:v>CHILLI LIGHTS</x:v>
      </x:c>
      <x:c r="E476" s="34" t="n">
        <x:v>0</x:v>
      </x:c>
      <x:c r="F476" s="55" t="n">
        <x:v>0</x:v>
      </x:c>
      <x:c r="G476" s="58" t="n">
        <x:f>E475</x:f>
        <x:v>60</x:v>
      </x:c>
      <x:c r="H476" s="58" t="str">
        <x:f>""</x:f>
      </x:c>
      <x:c r="I476" s="58" t="str">
        <x:f>""</x:f>
      </x:c>
      <x:c r="J476" s="58" t="n">
        <x:f>IF(G476="","",ABS(E476-G476))</x:f>
        <x:v>60</x:v>
      </x:c>
      <x:c r="K476" s="58" t="str">
        <x:f>IF(H476="","",ABS(E476-H476))</x:f>
      </x:c>
      <x:c r="L476" s="58" t="str">
        <x:f>IF(I476="","",ABS(E476-I476))</x:f>
      </x:c>
      <x:c r="M476" s="23" t="str">
        <x:f>IF(B476&gt;44,"Validation","Training")</x:f>
        <x:v>Training</x:v>
      </x:c>
      <x:c r="N476" s="61" t="str">
        <x:f>IF(OR(H476="",E476=0),"",K476/E476)</x:f>
      </x:c>
    </x:row>
    <x:row r="477">
      <x:c r="A477" s="28" t="n">
        <x:v>40546</x:v>
      </x:c>
      <x:c r="B477" s="23" t="n">
        <x:v>5</x:v>
      </x:c>
      <x:c r="C477" s="23" t="str">
        <x:v>79321</x:v>
      </x:c>
      <x:c r="D477" s="23" t="str">
        <x:v>CHILLI LIGHTS</x:v>
      </x:c>
      <x:c r="E477" s="34" t="n">
        <x:v>933</x:v>
      </x:c>
      <x:c r="F477" s="55" t="n">
        <x:v>3882.17</x:v>
      </x:c>
      <x:c r="G477" s="58" t="n">
        <x:f>E476</x:f>
        <x:v>0</x:v>
      </x:c>
      <x:c r="H477" s="58" t="n">
        <x:f>AVERAGE(E473:E476)</x:f>
        <x:v>246.5</x:v>
      </x:c>
      <x:c r="I477" s="58" t="str">
        <x:f>""</x:f>
      </x:c>
      <x:c r="J477" s="58" t="str">
        <x:f>IF(G477="","",ABS(E477-G477))</x:f>
      </x:c>
      <x:c r="K477" s="58" t="n">
        <x:f>IF(H477="","",ABS(E477-H477))</x:f>
        <x:v>686.5</x:v>
      </x:c>
      <x:c r="L477" s="58" t="str">
        <x:f>IF(I477="","",ABS(E477-I477))</x:f>
      </x:c>
      <x:c r="M477" s="23" t="str">
        <x:f>IF(B477&gt;44,"Validation","Training")</x:f>
        <x:v>Training</x:v>
      </x:c>
      <x:c r="N477" s="61" t="n">
        <x:f>IF(OR(H477="",E477=0),"",K477/E477)</x:f>
        <x:v>0.7357984994640944</x:v>
      </x:c>
    </x:row>
    <x:row r="478">
      <x:c r="A478" s="28" t="n">
        <x:v>40553</x:v>
      </x:c>
      <x:c r="B478" s="23" t="n">
        <x:v>6</x:v>
      </x:c>
      <x:c r="C478" s="23" t="str">
        <x:v>79321</x:v>
      </x:c>
      <x:c r="D478" s="23" t="str">
        <x:v>CHILLI LIGHTS</x:v>
      </x:c>
      <x:c r="E478" s="34" t="n">
        <x:v>175</x:v>
      </x:c>
      <x:c r="F478" s="55" t="n">
        <x:v>776.91</x:v>
      </x:c>
      <x:c r="G478" s="58" t="n">
        <x:f>E477</x:f>
        <x:v>933</x:v>
      </x:c>
      <x:c r="H478" s="58" t="n">
        <x:f>AVERAGE(E474:E477)</x:f>
        <x:v>395.5</x:v>
      </x:c>
      <x:c r="I478" s="58" t="str">
        <x:f>""</x:f>
      </x:c>
      <x:c r="J478" s="58" t="n">
        <x:f>IF(G478="","",ABS(E478-G478))</x:f>
        <x:v>758</x:v>
      </x:c>
      <x:c r="K478" s="58" t="n">
        <x:f>IF(H478="","",ABS(E478-H478))</x:f>
        <x:v>220.5</x:v>
      </x:c>
      <x:c r="L478" s="58" t="str">
        <x:f>IF(I478="","",ABS(E478-I478))</x:f>
      </x:c>
      <x:c r="M478" s="23" t="str">
        <x:f>IF(B478&gt;44,"Validation","Training")</x:f>
        <x:v>Training</x:v>
      </x:c>
      <x:c r="N478" s="61" t="n">
        <x:f>IF(OR(H478="",E478=0),"",K478/E478)</x:f>
        <x:v>1.26</x:v>
      </x:c>
    </x:row>
    <x:row r="479">
      <x:c r="A479" s="28" t="n">
        <x:v>40560</x:v>
      </x:c>
      <x:c r="B479" s="23" t="n">
        <x:v>7</x:v>
      </x:c>
      <x:c r="C479" s="23" t="str">
        <x:v>79321</x:v>
      </x:c>
      <x:c r="D479" s="23" t="str">
        <x:v>CHILLI LIGHTS</x:v>
      </x:c>
      <x:c r="E479" s="34" t="n">
        <x:v>165</x:v>
      </x:c>
      <x:c r="F479" s="55" t="n">
        <x:v>689.7</x:v>
      </x:c>
      <x:c r="G479" s="58" t="n">
        <x:f>E478</x:f>
        <x:v>175</x:v>
      </x:c>
      <x:c r="H479" s="58" t="n">
        <x:f>AVERAGE(E475:E478)</x:f>
        <x:v>292</x:v>
      </x:c>
      <x:c r="I479" s="58" t="str">
        <x:f>""</x:f>
      </x:c>
      <x:c r="J479" s="58" t="n">
        <x:f>IF(G479="","",ABS(E479-G479))</x:f>
        <x:v>10</x:v>
      </x:c>
      <x:c r="K479" s="58" t="n">
        <x:f>IF(H479="","",ABS(E479-H479))</x:f>
        <x:v>127</x:v>
      </x:c>
      <x:c r="L479" s="58" t="str">
        <x:f>IF(I479="","",ABS(E479-I479))</x:f>
      </x:c>
      <x:c r="M479" s="23" t="str">
        <x:f>IF(B479&gt;44,"Validation","Training")</x:f>
        <x:v>Training</x:v>
      </x:c>
      <x:c r="N479" s="61" t="n">
        <x:f>IF(OR(H479="",E479=0),"",K479/E479)</x:f>
        <x:v>0.7696969696969697</x:v>
      </x:c>
    </x:row>
    <x:row r="480">
      <x:c r="A480" s="28" t="n">
        <x:v>40567</x:v>
      </x:c>
      <x:c r="B480" s="23" t="n">
        <x:v>8</x:v>
      </x:c>
      <x:c r="C480" s="23" t="str">
        <x:v>79321</x:v>
      </x:c>
      <x:c r="D480" s="23" t="str">
        <x:v>CHILLI LIGHTS</x:v>
      </x:c>
      <x:c r="E480" s="34" t="n">
        <x:v>105</x:v>
      </x:c>
      <x:c r="F480" s="55" t="n">
        <x:v>506.91</x:v>
      </x:c>
      <x:c r="G480" s="58" t="n">
        <x:f>E479</x:f>
        <x:v>165</x:v>
      </x:c>
      <x:c r="H480" s="58" t="n">
        <x:f>AVERAGE(E476:E479)</x:f>
        <x:v>318.25</x:v>
      </x:c>
      <x:c r="I480" s="58" t="str">
        <x:f>""</x:f>
      </x:c>
      <x:c r="J480" s="58" t="n">
        <x:f>IF(G480="","",ABS(E480-G480))</x:f>
        <x:v>60</x:v>
      </x:c>
      <x:c r="K480" s="58" t="n">
        <x:f>IF(H480="","",ABS(E480-H480))</x:f>
        <x:v>213.25</x:v>
      </x:c>
      <x:c r="L480" s="58" t="str">
        <x:f>IF(I480="","",ABS(E480-I480))</x:f>
      </x:c>
      <x:c r="M480" s="23" t="str">
        <x:f>IF(B480&gt;44,"Validation","Training")</x:f>
        <x:v>Training</x:v>
      </x:c>
      <x:c r="N480" s="61" t="n">
        <x:f>IF(OR(H480="",E480=0),"",K480/E480)</x:f>
        <x:v>2.030952380952381</x:v>
      </x:c>
    </x:row>
    <x:row r="481">
      <x:c r="A481" s="28" t="n">
        <x:v>40574</x:v>
      </x:c>
      <x:c r="B481" s="23" t="n">
        <x:v>9</x:v>
      </x:c>
      <x:c r="C481" s="23" t="str">
        <x:v>79321</x:v>
      </x:c>
      <x:c r="D481" s="23" t="str">
        <x:v>CHILLI LIGHTS</x:v>
      </x:c>
      <x:c r="E481" s="34" t="n">
        <x:v>99</x:v>
      </x:c>
      <x:c r="F481" s="55" t="n">
        <x:v>566.69</x:v>
      </x:c>
      <x:c r="G481" s="58" t="n">
        <x:f>E480</x:f>
        <x:v>105</x:v>
      </x:c>
      <x:c r="H481" s="58" t="n">
        <x:f>AVERAGE(E477:E480)</x:f>
        <x:v>344.5</x:v>
      </x:c>
      <x:c r="I481" s="58" t="n">
        <x:f>AVERAGE(E473:E480)</x:f>
        <x:v>295.5</x:v>
      </x:c>
      <x:c r="J481" s="58" t="n">
        <x:f>IF(G481="","",ABS(E481-G481))</x:f>
        <x:v>6</x:v>
      </x:c>
      <x:c r="K481" s="58" t="n">
        <x:f>IF(H481="","",ABS(E481-H481))</x:f>
        <x:v>245.5</x:v>
      </x:c>
      <x:c r="L481" s="58" t="n">
        <x:f>IF(I481="","",ABS(E481-I481))</x:f>
        <x:v>196.5</x:v>
      </x:c>
      <x:c r="M481" s="23" t="str">
        <x:f>IF(B481&gt;44,"Validation","Training")</x:f>
        <x:v>Training</x:v>
      </x:c>
      <x:c r="N481" s="61" t="n">
        <x:f>IF(OR(H481="",E481=0),"",K481/E481)</x:f>
        <x:v>2.4797979797979797</x:v>
      </x:c>
    </x:row>
    <x:row r="482">
      <x:c r="A482" s="28" t="n">
        <x:v>40581</x:v>
      </x:c>
      <x:c r="B482" s="23" t="n">
        <x:v>10</x:v>
      </x:c>
      <x:c r="C482" s="23" t="str">
        <x:v>79321</x:v>
      </x:c>
      <x:c r="D482" s="23" t="str">
        <x:v>CHILLI LIGHTS</x:v>
      </x:c>
      <x:c r="E482" s="34" t="n">
        <x:v>192</x:v>
      </x:c>
      <x:c r="F482" s="55" t="n">
        <x:v>985.32</x:v>
      </x:c>
      <x:c r="G482" s="58" t="n">
        <x:f>E481</x:f>
        <x:v>99</x:v>
      </x:c>
      <x:c r="H482" s="58" t="n">
        <x:f>AVERAGE(E478:E481)</x:f>
        <x:v>136</x:v>
      </x:c>
      <x:c r="I482" s="58" t="n">
        <x:f>AVERAGE(E474:E481)</x:f>
        <x:v>265.75</x:v>
      </x:c>
      <x:c r="J482" s="58" t="n">
        <x:f>IF(G482="","",ABS(E482-G482))</x:f>
        <x:v>93</x:v>
      </x:c>
      <x:c r="K482" s="58" t="n">
        <x:f>IF(H482="","",ABS(E482-H482))</x:f>
        <x:v>56</x:v>
      </x:c>
      <x:c r="L482" s="58" t="n">
        <x:f>IF(I482="","",ABS(E482-I482))</x:f>
        <x:v>73.75</x:v>
      </x:c>
      <x:c r="M482" s="23" t="str">
        <x:f>IF(B482&gt;44,"Validation","Training")</x:f>
        <x:v>Training</x:v>
      </x:c>
      <x:c r="N482" s="61" t="n">
        <x:f>IF(OR(H482="",E482=0),"",K482/E482)</x:f>
        <x:v>0.2916666666666667</x:v>
      </x:c>
    </x:row>
    <x:row r="483">
      <x:c r="A483" s="28" t="n">
        <x:v>40588</x:v>
      </x:c>
      <x:c r="B483" s="23" t="n">
        <x:v>11</x:v>
      </x:c>
      <x:c r="C483" s="23" t="str">
        <x:v>79321</x:v>
      </x:c>
      <x:c r="D483" s="23" t="str">
        <x:v>CHILLI LIGHTS</x:v>
      </x:c>
      <x:c r="E483" s="34" t="n">
        <x:v>305</x:v>
      </x:c>
      <x:c r="F483" s="55" t="n">
        <x:v>1588.33</x:v>
      </x:c>
      <x:c r="G483" s="58" t="n">
        <x:f>E482</x:f>
        <x:v>192</x:v>
      </x:c>
      <x:c r="H483" s="58" t="n">
        <x:f>AVERAGE(E479:E482)</x:f>
        <x:v>140.25</x:v>
      </x:c>
      <x:c r="I483" s="58" t="n">
        <x:f>AVERAGE(E475:E482)</x:f>
        <x:v>216.125</x:v>
      </x:c>
      <x:c r="J483" s="58" t="n">
        <x:f>IF(G483="","",ABS(E483-G483))</x:f>
        <x:v>113</x:v>
      </x:c>
      <x:c r="K483" s="58" t="n">
        <x:f>IF(H483="","",ABS(E483-H483))</x:f>
        <x:v>164.75</x:v>
      </x:c>
      <x:c r="L483" s="58" t="n">
        <x:f>IF(I483="","",ABS(E483-I483))</x:f>
        <x:v>88.875</x:v>
      </x:c>
      <x:c r="M483" s="23" t="str">
        <x:f>IF(B483&gt;44,"Validation","Training")</x:f>
        <x:v>Training</x:v>
      </x:c>
      <x:c r="N483" s="61" t="n">
        <x:f>IF(OR(H483="",E483=0),"",K483/E483)</x:f>
        <x:v>0.5401639344262295</x:v>
      </x:c>
    </x:row>
    <x:row r="484">
      <x:c r="A484" s="28" t="n">
        <x:v>40595</x:v>
      </x:c>
      <x:c r="B484" s="23" t="n">
        <x:v>12</x:v>
      </x:c>
      <x:c r="C484" s="23" t="str">
        <x:v>79321</x:v>
      </x:c>
      <x:c r="D484" s="23" t="str">
        <x:v>CHILLI LIGHTS</x:v>
      </x:c>
      <x:c r="E484" s="34" t="n">
        <x:v>75</x:v>
      </x:c>
      <x:c r="F484" s="55" t="n">
        <x:v>487.56</x:v>
      </x:c>
      <x:c r="G484" s="58" t="n">
        <x:f>E483</x:f>
        <x:v>305</x:v>
      </x:c>
      <x:c r="H484" s="58" t="n">
        <x:f>AVERAGE(E480:E483)</x:f>
        <x:v>175.25</x:v>
      </x:c>
      <x:c r="I484" s="58" t="n">
        <x:f>AVERAGE(E476:E483)</x:f>
        <x:v>246.75</x:v>
      </x:c>
      <x:c r="J484" s="58" t="n">
        <x:f>IF(G484="","",ABS(E484-G484))</x:f>
        <x:v>230</x:v>
      </x:c>
      <x:c r="K484" s="58" t="n">
        <x:f>IF(H484="","",ABS(E484-H484))</x:f>
        <x:v>100.25</x:v>
      </x:c>
      <x:c r="L484" s="58" t="n">
        <x:f>IF(I484="","",ABS(E484-I484))</x:f>
        <x:v>171.75</x:v>
      </x:c>
      <x:c r="M484" s="23" t="str">
        <x:f>IF(B484&gt;44,"Validation","Training")</x:f>
        <x:v>Training</x:v>
      </x:c>
      <x:c r="N484" s="61" t="n">
        <x:f>IF(OR(H484="",E484=0),"",K484/E484)</x:f>
        <x:v>1.3366666666666667</x:v>
      </x:c>
    </x:row>
    <x:row r="485">
      <x:c r="A485" s="28" t="n">
        <x:v>40602</x:v>
      </x:c>
      <x:c r="B485" s="23" t="n">
        <x:v>13</x:v>
      </x:c>
      <x:c r="C485" s="23" t="str">
        <x:v>79321</x:v>
      </x:c>
      <x:c r="D485" s="23" t="str">
        <x:v>CHILLI LIGHTS</x:v>
      </x:c>
      <x:c r="E485" s="34" t="n">
        <x:v>39</x:v>
      </x:c>
      <x:c r="F485" s="55" t="n">
        <x:v>210.09</x:v>
      </x:c>
      <x:c r="G485" s="58" t="n">
        <x:f>E484</x:f>
        <x:v>75</x:v>
      </x:c>
      <x:c r="H485" s="58" t="n">
        <x:f>AVERAGE(E481:E484)</x:f>
        <x:v>167.75</x:v>
      </x:c>
      <x:c r="I485" s="58" t="n">
        <x:f>AVERAGE(E477:E484)</x:f>
        <x:v>256.125</x:v>
      </x:c>
      <x:c r="J485" s="58" t="n">
        <x:f>IF(G485="","",ABS(E485-G485))</x:f>
        <x:v>36</x:v>
      </x:c>
      <x:c r="K485" s="58" t="n">
        <x:f>IF(H485="","",ABS(E485-H485))</x:f>
        <x:v>128.75</x:v>
      </x:c>
      <x:c r="L485" s="58" t="n">
        <x:f>IF(I485="","",ABS(E485-I485))</x:f>
        <x:v>217.125</x:v>
      </x:c>
      <x:c r="M485" s="23" t="str">
        <x:f>IF(B485&gt;44,"Validation","Training")</x:f>
        <x:v>Training</x:v>
      </x:c>
      <x:c r="N485" s="61" t="n">
        <x:f>IF(OR(H485="",E485=0),"",K485/E485)</x:f>
        <x:v>3.301282051282051</x:v>
      </x:c>
    </x:row>
    <x:row r="486">
      <x:c r="A486" s="28" t="n">
        <x:v>40609</x:v>
      </x:c>
      <x:c r="B486" s="23" t="n">
        <x:v>14</x:v>
      </x:c>
      <x:c r="C486" s="23" t="str">
        <x:v>79321</x:v>
      </x:c>
      <x:c r="D486" s="23" t="str">
        <x:v>CHILLI LIGHTS</x:v>
      </x:c>
      <x:c r="E486" s="34" t="n">
        <x:v>270</x:v>
      </x:c>
      <x:c r="F486" s="55" t="n">
        <x:v>1516.3</x:v>
      </x:c>
      <x:c r="G486" s="58" t="n">
        <x:f>E485</x:f>
        <x:v>39</x:v>
      </x:c>
      <x:c r="H486" s="58" t="n">
        <x:f>AVERAGE(E482:E485)</x:f>
        <x:v>152.75</x:v>
      </x:c>
      <x:c r="I486" s="58" t="n">
        <x:f>AVERAGE(E478:E485)</x:f>
        <x:v>144.375</x:v>
      </x:c>
      <x:c r="J486" s="58" t="n">
        <x:f>IF(G486="","",ABS(E486-G486))</x:f>
        <x:v>231</x:v>
      </x:c>
      <x:c r="K486" s="58" t="n">
        <x:f>IF(H486="","",ABS(E486-H486))</x:f>
        <x:v>117.25</x:v>
      </x:c>
      <x:c r="L486" s="58" t="n">
        <x:f>IF(I486="","",ABS(E486-I486))</x:f>
        <x:v>125.625</x:v>
      </x:c>
      <x:c r="M486" s="23" t="str">
        <x:f>IF(B486&gt;44,"Validation","Training")</x:f>
        <x:v>Training</x:v>
      </x:c>
      <x:c r="N486" s="61" t="n">
        <x:f>IF(OR(H486="",E486=0),"",K486/E486)</x:f>
        <x:v>0.43425925925925923</x:v>
      </x:c>
    </x:row>
    <x:row r="487">
      <x:c r="A487" s="28" t="n">
        <x:v>40616</x:v>
      </x:c>
      <x:c r="B487" s="23" t="n">
        <x:v>15</x:v>
      </x:c>
      <x:c r="C487" s="23" t="str">
        <x:v>79321</x:v>
      </x:c>
      <x:c r="D487" s="23" t="str">
        <x:v>CHILLI LIGHTS</x:v>
      </x:c>
      <x:c r="E487" s="34" t="n">
        <x:v>108</x:v>
      </x:c>
      <x:c r="F487" s="55" t="n">
        <x:v>656.45</x:v>
      </x:c>
      <x:c r="G487" s="58" t="n">
        <x:f>E486</x:f>
        <x:v>270</x:v>
      </x:c>
      <x:c r="H487" s="58" t="n">
        <x:f>AVERAGE(E483:E486)</x:f>
        <x:v>172.25</x:v>
      </x:c>
      <x:c r="I487" s="58" t="n">
        <x:f>AVERAGE(E479:E486)</x:f>
        <x:v>156.25</x:v>
      </x:c>
      <x:c r="J487" s="58" t="n">
        <x:f>IF(G487="","",ABS(E487-G487))</x:f>
        <x:v>162</x:v>
      </x:c>
      <x:c r="K487" s="58" t="n">
        <x:f>IF(H487="","",ABS(E487-H487))</x:f>
        <x:v>64.25</x:v>
      </x:c>
      <x:c r="L487" s="58" t="n">
        <x:f>IF(I487="","",ABS(E487-I487))</x:f>
        <x:v>48.25</x:v>
      </x:c>
      <x:c r="M487" s="23" t="str">
        <x:f>IF(B487&gt;44,"Validation","Training")</x:f>
        <x:v>Training</x:v>
      </x:c>
      <x:c r="N487" s="61" t="n">
        <x:f>IF(OR(H487="",E487=0),"",K487/E487)</x:f>
        <x:v>0.5949074074074074</x:v>
      </x:c>
    </x:row>
    <x:row r="488">
      <x:c r="A488" s="28" t="n">
        <x:v>40623</x:v>
      </x:c>
      <x:c r="B488" s="23" t="n">
        <x:v>16</x:v>
      </x:c>
      <x:c r="C488" s="23" t="str">
        <x:v>79321</x:v>
      </x:c>
      <x:c r="D488" s="23" t="str">
        <x:v>CHILLI LIGHTS</x:v>
      </x:c>
      <x:c r="E488" s="34" t="n">
        <x:v>22</x:v>
      </x:c>
      <x:c r="F488" s="55" t="n">
        <x:v>133.21</x:v>
      </x:c>
      <x:c r="G488" s="58" t="n">
        <x:f>E487</x:f>
        <x:v>108</x:v>
      </x:c>
      <x:c r="H488" s="58" t="n">
        <x:f>AVERAGE(E484:E487)</x:f>
        <x:v>123</x:v>
      </x:c>
      <x:c r="I488" s="58" t="n">
        <x:f>AVERAGE(E480:E487)</x:f>
        <x:v>149.125</x:v>
      </x:c>
      <x:c r="J488" s="58" t="n">
        <x:f>IF(G488="","",ABS(E488-G488))</x:f>
        <x:v>86</x:v>
      </x:c>
      <x:c r="K488" s="58" t="n">
        <x:f>IF(H488="","",ABS(E488-H488))</x:f>
        <x:v>101</x:v>
      </x:c>
      <x:c r="L488" s="58" t="n">
        <x:f>IF(I488="","",ABS(E488-I488))</x:f>
        <x:v>127.125</x:v>
      </x:c>
      <x:c r="M488" s="23" t="str">
        <x:f>IF(B488&gt;44,"Validation","Training")</x:f>
        <x:v>Training</x:v>
      </x:c>
      <x:c r="N488" s="61" t="n">
        <x:f>IF(OR(H488="",E488=0),"",K488/E488)</x:f>
        <x:v>4.590909090909091</x:v>
      </x:c>
    </x:row>
    <x:row r="489">
      <x:c r="A489" s="28" t="n">
        <x:v>40630</x:v>
      </x:c>
      <x:c r="B489" s="23" t="n">
        <x:v>17</x:v>
      </x:c>
      <x:c r="C489" s="23" t="str">
        <x:v>79321</x:v>
      </x:c>
      <x:c r="D489" s="23" t="str">
        <x:v>CHILLI LIGHTS</x:v>
      </x:c>
      <x:c r="E489" s="34" t="n">
        <x:v>85</x:v>
      </x:c>
      <x:c r="F489" s="55" t="n">
        <x:v>639.54</x:v>
      </x:c>
      <x:c r="G489" s="58" t="n">
        <x:f>E488</x:f>
        <x:v>22</x:v>
      </x:c>
      <x:c r="H489" s="58" t="n">
        <x:f>AVERAGE(E485:E488)</x:f>
        <x:v>109.75</x:v>
      </x:c>
      <x:c r="I489" s="58" t="n">
        <x:f>AVERAGE(E481:E488)</x:f>
        <x:v>138.75</x:v>
      </x:c>
      <x:c r="J489" s="58" t="n">
        <x:f>IF(G489="","",ABS(E489-G489))</x:f>
        <x:v>63</x:v>
      </x:c>
      <x:c r="K489" s="58" t="n">
        <x:f>IF(H489="","",ABS(E489-H489))</x:f>
        <x:v>24.75</x:v>
      </x:c>
      <x:c r="L489" s="58" t="n">
        <x:f>IF(I489="","",ABS(E489-I489))</x:f>
        <x:v>53.75</x:v>
      </x:c>
      <x:c r="M489" s="23" t="str">
        <x:f>IF(B489&gt;44,"Validation","Training")</x:f>
        <x:v>Training</x:v>
      </x:c>
      <x:c r="N489" s="61" t="n">
        <x:f>IF(OR(H489="",E489=0),"",K489/E489)</x:f>
        <x:v>0.2911764705882353</x:v>
      </x:c>
    </x:row>
    <x:row r="490">
      <x:c r="A490" s="28" t="n">
        <x:v>40637</x:v>
      </x:c>
      <x:c r="B490" s="23" t="n">
        <x:v>18</x:v>
      </x:c>
      <x:c r="C490" s="23" t="str">
        <x:v>79321</x:v>
      </x:c>
      <x:c r="D490" s="23" t="str">
        <x:v>CHILLI LIGHTS</x:v>
      </x:c>
      <x:c r="E490" s="34" t="n">
        <x:v>14</x:v>
      </x:c>
      <x:c r="F490" s="55" t="n">
        <x:v>161.02</x:v>
      </x:c>
      <x:c r="G490" s="58" t="n">
        <x:f>E489</x:f>
        <x:v>85</x:v>
      </x:c>
      <x:c r="H490" s="58" t="n">
        <x:f>AVERAGE(E486:E489)</x:f>
        <x:v>121.25</x:v>
      </x:c>
      <x:c r="I490" s="58" t="n">
        <x:f>AVERAGE(E482:E489)</x:f>
        <x:v>137</x:v>
      </x:c>
      <x:c r="J490" s="58" t="n">
        <x:f>IF(G490="","",ABS(E490-G490))</x:f>
        <x:v>71</x:v>
      </x:c>
      <x:c r="K490" s="58" t="n">
        <x:f>IF(H490="","",ABS(E490-H490))</x:f>
        <x:v>107.25</x:v>
      </x:c>
      <x:c r="L490" s="58" t="n">
        <x:f>IF(I490="","",ABS(E490-I490))</x:f>
        <x:v>123</x:v>
      </x:c>
      <x:c r="M490" s="23" t="str">
        <x:f>IF(B490&gt;44,"Validation","Training")</x:f>
        <x:v>Training</x:v>
      </x:c>
      <x:c r="N490" s="61" t="n">
        <x:f>IF(OR(H490="",E490=0),"",K490/E490)</x:f>
        <x:v>7.660714285714286</x:v>
      </x:c>
    </x:row>
    <x:row r="491">
      <x:c r="A491" s="28" t="n">
        <x:v>40644</x:v>
      </x:c>
      <x:c r="B491" s="23" t="n">
        <x:v>19</x:v>
      </x:c>
      <x:c r="C491" s="23" t="str">
        <x:v>79321</x:v>
      </x:c>
      <x:c r="D491" s="23" t="str">
        <x:v>CHILLI LIGHTS</x:v>
      </x:c>
      <x:c r="E491" s="34" t="n">
        <x:v>5</x:v>
      </x:c>
      <x:c r="F491" s="55" t="n">
        <x:v>55.59</x:v>
      </x:c>
      <x:c r="G491" s="58" t="n">
        <x:f>E490</x:f>
        <x:v>14</x:v>
      </x:c>
      <x:c r="H491" s="58" t="n">
        <x:f>AVERAGE(E487:E490)</x:f>
        <x:v>57.25</x:v>
      </x:c>
      <x:c r="I491" s="58" t="n">
        <x:f>AVERAGE(E483:E490)</x:f>
        <x:v>114.75</x:v>
      </x:c>
      <x:c r="J491" s="58" t="n">
        <x:f>IF(G491="","",ABS(E491-G491))</x:f>
        <x:v>9</x:v>
      </x:c>
      <x:c r="K491" s="58" t="n">
        <x:f>IF(H491="","",ABS(E491-H491))</x:f>
        <x:v>52.25</x:v>
      </x:c>
      <x:c r="L491" s="58" t="n">
        <x:f>IF(I491="","",ABS(E491-I491))</x:f>
        <x:v>109.75</x:v>
      </x:c>
      <x:c r="M491" s="23" t="str">
        <x:f>IF(B491&gt;44,"Validation","Training")</x:f>
        <x:v>Training</x:v>
      </x:c>
      <x:c r="N491" s="61" t="n">
        <x:f>IF(OR(H491="",E491=0),"",K491/E491)</x:f>
        <x:v>10.45</x:v>
      </x:c>
    </x:row>
    <x:row r="492">
      <x:c r="A492" s="28" t="n">
        <x:v>40651</x:v>
      </x:c>
      <x:c r="B492" s="23" t="n">
        <x:v>20</x:v>
      </x:c>
      <x:c r="C492" s="23" t="str">
        <x:v>79321</x:v>
      </x:c>
      <x:c r="D492" s="23" t="str">
        <x:v>CHILLI LIGHTS</x:v>
      </x:c>
      <x:c r="E492" s="34" t="n">
        <x:v>4</x:v>
      </x:c>
      <x:c r="F492" s="55" t="n">
        <x:v>49.84</x:v>
      </x:c>
      <x:c r="G492" s="58" t="n">
        <x:f>E491</x:f>
        <x:v>5</x:v>
      </x:c>
      <x:c r="H492" s="58" t="n">
        <x:f>AVERAGE(E488:E491)</x:f>
        <x:v>31.5</x:v>
      </x:c>
      <x:c r="I492" s="58" t="n">
        <x:f>AVERAGE(E484:E491)</x:f>
        <x:v>77.25</x:v>
      </x:c>
      <x:c r="J492" s="58" t="n">
        <x:f>IF(G492="","",ABS(E492-G492))</x:f>
        <x:v>1</x:v>
      </x:c>
      <x:c r="K492" s="58" t="n">
        <x:f>IF(H492="","",ABS(E492-H492))</x:f>
        <x:v>27.5</x:v>
      </x:c>
      <x:c r="L492" s="58" t="n">
        <x:f>IF(I492="","",ABS(E492-I492))</x:f>
        <x:v>73.25</x:v>
      </x:c>
      <x:c r="M492" s="23" t="str">
        <x:f>IF(B492&gt;44,"Validation","Training")</x:f>
        <x:v>Training</x:v>
      </x:c>
      <x:c r="N492" s="61" t="n">
        <x:f>IF(OR(H492="",E492=0),"",K492/E492)</x:f>
        <x:v>6.875</x:v>
      </x:c>
    </x:row>
    <x:row r="493">
      <x:c r="A493" s="28" t="n">
        <x:v>40658</x:v>
      </x:c>
      <x:c r="B493" s="23" t="n">
        <x:v>21</x:v>
      </x:c>
      <x:c r="C493" s="23" t="str">
        <x:v>79321</x:v>
      </x:c>
      <x:c r="D493" s="23" t="str">
        <x:v>CHILLI LIGHTS</x:v>
      </x:c>
      <x:c r="E493" s="34" t="n">
        <x:v>5</x:v>
      </x:c>
      <x:c r="F493" s="55" t="n">
        <x:v>62.3</x:v>
      </x:c>
      <x:c r="G493" s="58" t="n">
        <x:f>E492</x:f>
        <x:v>4</x:v>
      </x:c>
      <x:c r="H493" s="58" t="n">
        <x:f>AVERAGE(E489:E492)</x:f>
        <x:v>27</x:v>
      </x:c>
      <x:c r="I493" s="58" t="n">
        <x:f>AVERAGE(E485:E492)</x:f>
        <x:v>68.375</x:v>
      </x:c>
      <x:c r="J493" s="58" t="n">
        <x:f>IF(G493="","",ABS(E493-G493))</x:f>
        <x:v>1</x:v>
      </x:c>
      <x:c r="K493" s="58" t="n">
        <x:f>IF(H493="","",ABS(E493-H493))</x:f>
        <x:v>22</x:v>
      </x:c>
      <x:c r="L493" s="58" t="n">
        <x:f>IF(I493="","",ABS(E493-I493))</x:f>
        <x:v>63.375</x:v>
      </x:c>
      <x:c r="M493" s="23" t="str">
        <x:f>IF(B493&gt;44,"Validation","Training")</x:f>
        <x:v>Training</x:v>
      </x:c>
      <x:c r="N493" s="61" t="n">
        <x:f>IF(OR(H493="",E493=0),"",K493/E493)</x:f>
        <x:v>4.4</x:v>
      </x:c>
    </x:row>
    <x:row r="494">
      <x:c r="A494" s="28" t="n">
        <x:v>40665</x:v>
      </x:c>
      <x:c r="B494" s="23" t="n">
        <x:v>22</x:v>
      </x:c>
      <x:c r="C494" s="23" t="str">
        <x:v>79321</x:v>
      </x:c>
      <x:c r="D494" s="23" t="str">
        <x:v>CHILLI LIGHTS</x:v>
      </x:c>
      <x:c r="E494" s="34" t="n">
        <x:v>109</x:v>
      </x:c>
      <x:c r="F494" s="55" t="n">
        <x:v>583.5</x:v>
      </x:c>
      <x:c r="G494" s="58" t="n">
        <x:f>E493</x:f>
        <x:v>5</x:v>
      </x:c>
      <x:c r="H494" s="58" t="n">
        <x:f>AVERAGE(E490:E493)</x:f>
        <x:v>7</x:v>
      </x:c>
      <x:c r="I494" s="58" t="n">
        <x:f>AVERAGE(E486:E493)</x:f>
        <x:v>64.125</x:v>
      </x:c>
      <x:c r="J494" s="58" t="n">
        <x:f>IF(G494="","",ABS(E494-G494))</x:f>
        <x:v>104</x:v>
      </x:c>
      <x:c r="K494" s="58" t="n">
        <x:f>IF(H494="","",ABS(E494-H494))</x:f>
        <x:v>102</x:v>
      </x:c>
      <x:c r="L494" s="58" t="n">
        <x:f>IF(I494="","",ABS(E494-I494))</x:f>
        <x:v>44.875</x:v>
      </x:c>
      <x:c r="M494" s="23" t="str">
        <x:f>IF(B494&gt;44,"Validation","Training")</x:f>
        <x:v>Training</x:v>
      </x:c>
      <x:c r="N494" s="61" t="n">
        <x:f>IF(OR(H494="",E494=0),"",K494/E494)</x:f>
        <x:v>0.9357798165137615</x:v>
      </x:c>
    </x:row>
    <x:row r="495">
      <x:c r="A495" s="28" t="n">
        <x:v>40672</x:v>
      </x:c>
      <x:c r="B495" s="23" t="n">
        <x:v>23</x:v>
      </x:c>
      <x:c r="C495" s="23" t="str">
        <x:v>79321</x:v>
      </x:c>
      <x:c r="D495" s="23" t="str">
        <x:v>CHILLI LIGHTS</x:v>
      </x:c>
      <x:c r="E495" s="34" t="n">
        <x:v>187</x:v>
      </x:c>
      <x:c r="F495" s="55" t="n">
        <x:v>993.6</x:v>
      </x:c>
      <x:c r="G495" s="58" t="n">
        <x:f>E494</x:f>
        <x:v>109</x:v>
      </x:c>
      <x:c r="H495" s="58" t="n">
        <x:f>AVERAGE(E491:E494)</x:f>
        <x:v>30.75</x:v>
      </x:c>
      <x:c r="I495" s="58" t="n">
        <x:f>AVERAGE(E487:E494)</x:f>
        <x:v>44</x:v>
      </x:c>
      <x:c r="J495" s="58" t="n">
        <x:f>IF(G495="","",ABS(E495-G495))</x:f>
        <x:v>78</x:v>
      </x:c>
      <x:c r="K495" s="58" t="n">
        <x:f>IF(H495="","",ABS(E495-H495))</x:f>
        <x:v>156.25</x:v>
      </x:c>
      <x:c r="L495" s="58" t="n">
        <x:f>IF(I495="","",ABS(E495-I495))</x:f>
        <x:v>143</x:v>
      </x:c>
      <x:c r="M495" s="23" t="str">
        <x:f>IF(B495&gt;44,"Validation","Training")</x:f>
        <x:v>Training</x:v>
      </x:c>
      <x:c r="N495" s="61" t="n">
        <x:f>IF(OR(H495="",E495=0),"",K495/E495)</x:f>
        <x:v>0.8355614973262032</x:v>
      </x:c>
    </x:row>
    <x:row r="496">
      <x:c r="A496" s="28" t="n">
        <x:v>40679</x:v>
      </x:c>
      <x:c r="B496" s="23" t="n">
        <x:v>24</x:v>
      </x:c>
      <x:c r="C496" s="23" t="str">
        <x:v>79321</x:v>
      </x:c>
      <x:c r="D496" s="23" t="str">
        <x:v>CHILLI LIGHTS</x:v>
      </x:c>
      <x:c r="E496" s="34" t="n">
        <x:v>44</x:v>
      </x:c>
      <x:c r="F496" s="55" t="n">
        <x:v>253</x:v>
      </x:c>
      <x:c r="G496" s="58" t="n">
        <x:f>E495</x:f>
        <x:v>187</x:v>
      </x:c>
      <x:c r="H496" s="58" t="n">
        <x:f>AVERAGE(E492:E495)</x:f>
        <x:v>76.25</x:v>
      </x:c>
      <x:c r="I496" s="58" t="n">
        <x:f>AVERAGE(E488:E495)</x:f>
        <x:v>53.875</x:v>
      </x:c>
      <x:c r="J496" s="58" t="n">
        <x:f>IF(G496="","",ABS(E496-G496))</x:f>
        <x:v>143</x:v>
      </x:c>
      <x:c r="K496" s="58" t="n">
        <x:f>IF(H496="","",ABS(E496-H496))</x:f>
        <x:v>32.25</x:v>
      </x:c>
      <x:c r="L496" s="58" t="n">
        <x:f>IF(I496="","",ABS(E496-I496))</x:f>
        <x:v>9.875</x:v>
      </x:c>
      <x:c r="M496" s="23" t="str">
        <x:f>IF(B496&gt;44,"Validation","Training")</x:f>
        <x:v>Training</x:v>
      </x:c>
      <x:c r="N496" s="61" t="n">
        <x:f>IF(OR(H496="",E496=0),"",K496/E496)</x:f>
        <x:v>0.7329545454545454</x:v>
      </x:c>
    </x:row>
    <x:row r="497">
      <x:c r="A497" s="28" t="n">
        <x:v>40686</x:v>
      </x:c>
      <x:c r="B497" s="23" t="n">
        <x:v>25</x:v>
      </x:c>
      <x:c r="C497" s="23" t="str">
        <x:v>79321</x:v>
      </x:c>
      <x:c r="D497" s="23" t="str">
        <x:v>CHILLI LIGHTS</x:v>
      </x:c>
      <x:c r="E497" s="34" t="n">
        <x:v>72</x:v>
      </x:c>
      <x:c r="F497" s="55" t="n">
        <x:v>375.6</x:v>
      </x:c>
      <x:c r="G497" s="58" t="n">
        <x:f>E496</x:f>
        <x:v>44</x:v>
      </x:c>
      <x:c r="H497" s="58" t="n">
        <x:f>AVERAGE(E493:E496)</x:f>
        <x:v>86.25</x:v>
      </x:c>
      <x:c r="I497" s="58" t="n">
        <x:f>AVERAGE(E489:E496)</x:f>
        <x:v>56.625</x:v>
      </x:c>
      <x:c r="J497" s="58" t="n">
        <x:f>IF(G497="","",ABS(E497-G497))</x:f>
        <x:v>28</x:v>
      </x:c>
      <x:c r="K497" s="58" t="n">
        <x:f>IF(H497="","",ABS(E497-H497))</x:f>
        <x:v>14.25</x:v>
      </x:c>
      <x:c r="L497" s="58" t="n">
        <x:f>IF(I497="","",ABS(E497-I497))</x:f>
        <x:v>15.375</x:v>
      </x:c>
      <x:c r="M497" s="23" t="str">
        <x:f>IF(B497&gt;44,"Validation","Training")</x:f>
        <x:v>Training</x:v>
      </x:c>
      <x:c r="N497" s="61" t="n">
        <x:f>IF(OR(H497="",E497=0),"",K497/E497)</x:f>
        <x:v>0.19791666666666666</x:v>
      </x:c>
    </x:row>
    <x:row r="498">
      <x:c r="A498" s="28" t="n">
        <x:v>40693</x:v>
      </x:c>
      <x:c r="B498" s="23" t="n">
        <x:v>26</x:v>
      </x:c>
      <x:c r="C498" s="23" t="str">
        <x:v>79321</x:v>
      </x:c>
      <x:c r="D498" s="23" t="str">
        <x:v>CHILLI LIGHTS</x:v>
      </x:c>
      <x:c r="E498" s="34" t="n">
        <x:v>27</x:v>
      </x:c>
      <x:c r="F498" s="55" t="n">
        <x:v>188.8</x:v>
      </x:c>
      <x:c r="G498" s="58" t="n">
        <x:f>E497</x:f>
        <x:v>72</x:v>
      </x:c>
      <x:c r="H498" s="58" t="n">
        <x:f>AVERAGE(E494:E497)</x:f>
        <x:v>103</x:v>
      </x:c>
      <x:c r="I498" s="58" t="n">
        <x:f>AVERAGE(E490:E497)</x:f>
        <x:v>55</x:v>
      </x:c>
      <x:c r="J498" s="58" t="n">
        <x:f>IF(G498="","",ABS(E498-G498))</x:f>
        <x:v>45</x:v>
      </x:c>
      <x:c r="K498" s="58" t="n">
        <x:f>IF(H498="","",ABS(E498-H498))</x:f>
        <x:v>76</x:v>
      </x:c>
      <x:c r="L498" s="58" t="n">
        <x:f>IF(I498="","",ABS(E498-I498))</x:f>
        <x:v>28</x:v>
      </x:c>
      <x:c r="M498" s="23" t="str">
        <x:f>IF(B498&gt;44,"Validation","Training")</x:f>
        <x:v>Training</x:v>
      </x:c>
      <x:c r="N498" s="61" t="n">
        <x:f>IF(OR(H498="",E498=0),"",K498/E498)</x:f>
        <x:v>2.814814814814815</x:v>
      </x:c>
    </x:row>
    <x:row r="499">
      <x:c r="A499" s="28" t="n">
        <x:v>40700</x:v>
      </x:c>
      <x:c r="B499" s="23" t="n">
        <x:v>27</x:v>
      </x:c>
      <x:c r="C499" s="23" t="str">
        <x:v>79321</x:v>
      </x:c>
      <x:c r="D499" s="23" t="str">
        <x:v>CHILLI LIGHTS</x:v>
      </x:c>
      <x:c r="E499" s="34" t="n">
        <x:v>95</x:v>
      </x:c>
      <x:c r="F499" s="55" t="n">
        <x:v>594.15</x:v>
      </x:c>
      <x:c r="G499" s="58" t="n">
        <x:f>E498</x:f>
        <x:v>27</x:v>
      </x:c>
      <x:c r="H499" s="58" t="n">
        <x:f>AVERAGE(E495:E498)</x:f>
        <x:v>82.5</x:v>
      </x:c>
      <x:c r="I499" s="58" t="n">
        <x:f>AVERAGE(E491:E498)</x:f>
        <x:v>56.625</x:v>
      </x:c>
      <x:c r="J499" s="58" t="n">
        <x:f>IF(G499="","",ABS(E499-G499))</x:f>
        <x:v>68</x:v>
      </x:c>
      <x:c r="K499" s="58" t="n">
        <x:f>IF(H499="","",ABS(E499-H499))</x:f>
        <x:v>12.5</x:v>
      </x:c>
      <x:c r="L499" s="58" t="n">
        <x:f>IF(I499="","",ABS(E499-I499))</x:f>
        <x:v>38.375</x:v>
      </x:c>
      <x:c r="M499" s="23" t="str">
        <x:f>IF(B499&gt;44,"Validation","Training")</x:f>
        <x:v>Training</x:v>
      </x:c>
      <x:c r="N499" s="61" t="n">
        <x:f>IF(OR(H499="",E499=0),"",K499/E499)</x:f>
        <x:v>0.13157894736842105</x:v>
      </x:c>
    </x:row>
    <x:row r="500">
      <x:c r="A500" s="28" t="n">
        <x:v>40707</x:v>
      </x:c>
      <x:c r="B500" s="23" t="n">
        <x:v>28</x:v>
      </x:c>
      <x:c r="C500" s="23" t="str">
        <x:v>79321</x:v>
      </x:c>
      <x:c r="D500" s="23" t="str">
        <x:v>CHILLI LIGHTS</x:v>
      </x:c>
      <x:c r="E500" s="34" t="n">
        <x:v>113</x:v>
      </x:c>
      <x:c r="F500" s="55" t="n">
        <x:v>679.38</x:v>
      </x:c>
      <x:c r="G500" s="58" t="n">
        <x:f>E499</x:f>
        <x:v>95</x:v>
      </x:c>
      <x:c r="H500" s="58" t="n">
        <x:f>AVERAGE(E496:E499)</x:f>
        <x:v>59.5</x:v>
      </x:c>
      <x:c r="I500" s="58" t="n">
        <x:f>AVERAGE(E492:E499)</x:f>
        <x:v>67.875</x:v>
      </x:c>
      <x:c r="J500" s="58" t="n">
        <x:f>IF(G500="","",ABS(E500-G500))</x:f>
        <x:v>18</x:v>
      </x:c>
      <x:c r="K500" s="58" t="n">
        <x:f>IF(H500="","",ABS(E500-H500))</x:f>
        <x:v>53.5</x:v>
      </x:c>
      <x:c r="L500" s="58" t="n">
        <x:f>IF(I500="","",ABS(E500-I500))</x:f>
        <x:v>45.125</x:v>
      </x:c>
      <x:c r="M500" s="23" t="str">
        <x:f>IF(B500&gt;44,"Validation","Training")</x:f>
        <x:v>Training</x:v>
      </x:c>
      <x:c r="N500" s="61" t="n">
        <x:f>IF(OR(H500="",E500=0),"",K500/E500)</x:f>
        <x:v>0.47345132743362833</x:v>
      </x:c>
    </x:row>
    <x:row r="501">
      <x:c r="A501" s="28" t="n">
        <x:v>40714</x:v>
      </x:c>
      <x:c r="B501" s="23" t="n">
        <x:v>29</x:v>
      </x:c>
      <x:c r="C501" s="23" t="str">
        <x:v>79321</x:v>
      </x:c>
      <x:c r="D501" s="23" t="str">
        <x:v>CHILLI LIGHTS</x:v>
      </x:c>
      <x:c r="E501" s="34" t="n">
        <x:v>60</x:v>
      </x:c>
      <x:c r="F501" s="55" t="n">
        <x:v>345.93</x:v>
      </x:c>
      <x:c r="G501" s="58" t="n">
        <x:f>E500</x:f>
        <x:v>113</x:v>
      </x:c>
      <x:c r="H501" s="58" t="n">
        <x:f>AVERAGE(E497:E500)</x:f>
        <x:v>76.75</x:v>
      </x:c>
      <x:c r="I501" s="58" t="n">
        <x:f>AVERAGE(E493:E500)</x:f>
        <x:v>81.5</x:v>
      </x:c>
      <x:c r="J501" s="58" t="n">
        <x:f>IF(G501="","",ABS(E501-G501))</x:f>
        <x:v>53</x:v>
      </x:c>
      <x:c r="K501" s="58" t="n">
        <x:f>IF(H501="","",ABS(E501-H501))</x:f>
        <x:v>16.75</x:v>
      </x:c>
      <x:c r="L501" s="58" t="n">
        <x:f>IF(I501="","",ABS(E501-I501))</x:f>
        <x:v>21.5</x:v>
      </x:c>
      <x:c r="M501" s="23" t="str">
        <x:f>IF(B501&gt;44,"Validation","Training")</x:f>
        <x:v>Training</x:v>
      </x:c>
      <x:c r="N501" s="61" t="n">
        <x:f>IF(OR(H501="",E501=0),"",K501/E501)</x:f>
        <x:v>0.2791666666666667</x:v>
      </x:c>
    </x:row>
    <x:row r="502">
      <x:c r="A502" s="28" t="n">
        <x:v>40721</x:v>
      </x:c>
      <x:c r="B502" s="23" t="n">
        <x:v>30</x:v>
      </x:c>
      <x:c r="C502" s="23" t="str">
        <x:v>79321</x:v>
      </x:c>
      <x:c r="D502" s="23" t="str">
        <x:v>CHILLI LIGHTS</x:v>
      </x:c>
      <x:c r="E502" s="34" t="n">
        <x:v>113</x:v>
      </x:c>
      <x:c r="F502" s="55" t="n">
        <x:v>593.08</x:v>
      </x:c>
      <x:c r="G502" s="58" t="n">
        <x:f>E501</x:f>
        <x:v>60</x:v>
      </x:c>
      <x:c r="H502" s="58" t="n">
        <x:f>AVERAGE(E498:E501)</x:f>
        <x:v>73.75</x:v>
      </x:c>
      <x:c r="I502" s="58" t="n">
        <x:f>AVERAGE(E494:E501)</x:f>
        <x:v>88.375</x:v>
      </x:c>
      <x:c r="J502" s="58" t="n">
        <x:f>IF(G502="","",ABS(E502-G502))</x:f>
        <x:v>53</x:v>
      </x:c>
      <x:c r="K502" s="58" t="n">
        <x:f>IF(H502="","",ABS(E502-H502))</x:f>
        <x:v>39.25</x:v>
      </x:c>
      <x:c r="L502" s="58" t="n">
        <x:f>IF(I502="","",ABS(E502-I502))</x:f>
        <x:v>24.625</x:v>
      </x:c>
      <x:c r="M502" s="23" t="str">
        <x:f>IF(B502&gt;44,"Validation","Training")</x:f>
        <x:v>Training</x:v>
      </x:c>
      <x:c r="N502" s="61" t="n">
        <x:f>IF(OR(H502="",E502=0),"",K502/E502)</x:f>
        <x:v>0.3473451327433628</x:v>
      </x:c>
    </x:row>
    <x:row r="503">
      <x:c r="A503" s="28" t="n">
        <x:v>40728</x:v>
      </x:c>
      <x:c r="B503" s="23" t="n">
        <x:v>31</x:v>
      </x:c>
      <x:c r="C503" s="23" t="str">
        <x:v>79321</x:v>
      </x:c>
      <x:c r="D503" s="23" t="str">
        <x:v>CHILLI LIGHTS</x:v>
      </x:c>
      <x:c r="E503" s="34" t="n">
        <x:v>23</x:v>
      </x:c>
      <x:c r="F503" s="55" t="n">
        <x:v>199.35</x:v>
      </x:c>
      <x:c r="G503" s="58" t="n">
        <x:f>E502</x:f>
        <x:v>113</x:v>
      </x:c>
      <x:c r="H503" s="58" t="n">
        <x:f>AVERAGE(E499:E502)</x:f>
        <x:v>95.25</x:v>
      </x:c>
      <x:c r="I503" s="58" t="n">
        <x:f>AVERAGE(E495:E502)</x:f>
        <x:v>88.875</x:v>
      </x:c>
      <x:c r="J503" s="58" t="n">
        <x:f>IF(G503="","",ABS(E503-G503))</x:f>
        <x:v>90</x:v>
      </x:c>
      <x:c r="K503" s="58" t="n">
        <x:f>IF(H503="","",ABS(E503-H503))</x:f>
        <x:v>72.25</x:v>
      </x:c>
      <x:c r="L503" s="58" t="n">
        <x:f>IF(I503="","",ABS(E503-I503))</x:f>
        <x:v>65.875</x:v>
      </x:c>
      <x:c r="M503" s="23" t="str">
        <x:f>IF(B503&gt;44,"Validation","Training")</x:f>
        <x:v>Training</x:v>
      </x:c>
      <x:c r="N503" s="61" t="n">
        <x:f>IF(OR(H503="",E503=0),"",K503/E503)</x:f>
        <x:v>3.141304347826087</x:v>
      </x:c>
    </x:row>
    <x:row r="504">
      <x:c r="A504" s="28" t="n">
        <x:v>40735</x:v>
      </x:c>
      <x:c r="B504" s="23" t="n">
        <x:v>32</x:v>
      </x:c>
      <x:c r="C504" s="23" t="str">
        <x:v>79321</x:v>
      </x:c>
      <x:c r="D504" s="23" t="str">
        <x:v>CHILLI LIGHTS</x:v>
      </x:c>
      <x:c r="E504" s="34" t="n">
        <x:v>33</x:v>
      </x:c>
      <x:c r="F504" s="55" t="n">
        <x:v>236.72</x:v>
      </x:c>
      <x:c r="G504" s="58" t="n">
        <x:f>E503</x:f>
        <x:v>23</x:v>
      </x:c>
      <x:c r="H504" s="58" t="n">
        <x:f>AVERAGE(E500:E503)</x:f>
        <x:v>77.25</x:v>
      </x:c>
      <x:c r="I504" s="58" t="n">
        <x:f>AVERAGE(E496:E503)</x:f>
        <x:v>68.375</x:v>
      </x:c>
      <x:c r="J504" s="58" t="n">
        <x:f>IF(G504="","",ABS(E504-G504))</x:f>
        <x:v>10</x:v>
      </x:c>
      <x:c r="K504" s="58" t="n">
        <x:f>IF(H504="","",ABS(E504-H504))</x:f>
        <x:v>44.25</x:v>
      </x:c>
      <x:c r="L504" s="58" t="n">
        <x:f>IF(I504="","",ABS(E504-I504))</x:f>
        <x:v>35.375</x:v>
      </x:c>
      <x:c r="M504" s="23" t="str">
        <x:f>IF(B504&gt;44,"Validation","Training")</x:f>
        <x:v>Training</x:v>
      </x:c>
      <x:c r="N504" s="61" t="n">
        <x:f>IF(OR(H504="",E504=0),"",K504/E504)</x:f>
        <x:v>1.3409090909090908</x:v>
      </x:c>
    </x:row>
    <x:row r="505">
      <x:c r="A505" s="28" t="n">
        <x:v>40742</x:v>
      </x:c>
      <x:c r="B505" s="23" t="n">
        <x:v>33</x:v>
      </x:c>
      <x:c r="C505" s="23" t="str">
        <x:v>79321</x:v>
      </x:c>
      <x:c r="D505" s="23" t="str">
        <x:v>CHILLI LIGHTS</x:v>
      </x:c>
      <x:c r="E505" s="34" t="n">
        <x:v>133</x:v>
      </x:c>
      <x:c r="F505" s="55" t="n">
        <x:v>732.03</x:v>
      </x:c>
      <x:c r="G505" s="58" t="n">
        <x:f>E504</x:f>
        <x:v>33</x:v>
      </x:c>
      <x:c r="H505" s="58" t="n">
        <x:f>AVERAGE(E501:E504)</x:f>
        <x:v>57.25</x:v>
      </x:c>
      <x:c r="I505" s="58" t="n">
        <x:f>AVERAGE(E497:E504)</x:f>
        <x:v>67</x:v>
      </x:c>
      <x:c r="J505" s="58" t="n">
        <x:f>IF(G505="","",ABS(E505-G505))</x:f>
        <x:v>100</x:v>
      </x:c>
      <x:c r="K505" s="58" t="n">
        <x:f>IF(H505="","",ABS(E505-H505))</x:f>
        <x:v>75.75</x:v>
      </x:c>
      <x:c r="L505" s="58" t="n">
        <x:f>IF(I505="","",ABS(E505-I505))</x:f>
        <x:v>66</x:v>
      </x:c>
      <x:c r="M505" s="23" t="str">
        <x:f>IF(B505&gt;44,"Validation","Training")</x:f>
        <x:v>Training</x:v>
      </x:c>
      <x:c r="N505" s="61" t="n">
        <x:f>IF(OR(H505="",E505=0),"",K505/E505)</x:f>
        <x:v>0.5695488721804511</x:v>
      </x:c>
    </x:row>
    <x:row r="506">
      <x:c r="A506" s="28" t="n">
        <x:v>40749</x:v>
      </x:c>
      <x:c r="B506" s="23" t="n">
        <x:v>34</x:v>
      </x:c>
      <x:c r="C506" s="23" t="str">
        <x:v>79321</x:v>
      </x:c>
      <x:c r="D506" s="23" t="str">
        <x:v>CHILLI LIGHTS</x:v>
      </x:c>
      <x:c r="E506" s="34" t="n">
        <x:v>651</x:v>
      </x:c>
      <x:c r="F506" s="55" t="n">
        <x:v>3126.89</x:v>
      </x:c>
      <x:c r="G506" s="58" t="n">
        <x:f>E505</x:f>
        <x:v>133</x:v>
      </x:c>
      <x:c r="H506" s="58" t="n">
        <x:f>AVERAGE(E502:E505)</x:f>
        <x:v>75.5</x:v>
      </x:c>
      <x:c r="I506" s="58" t="n">
        <x:f>AVERAGE(E498:E505)</x:f>
        <x:v>74.625</x:v>
      </x:c>
      <x:c r="J506" s="58" t="n">
        <x:f>IF(G506="","",ABS(E506-G506))</x:f>
        <x:v>518</x:v>
      </x:c>
      <x:c r="K506" s="58" t="n">
        <x:f>IF(H506="","",ABS(E506-H506))</x:f>
        <x:v>575.5</x:v>
      </x:c>
      <x:c r="L506" s="58" t="n">
        <x:f>IF(I506="","",ABS(E506-I506))</x:f>
        <x:v>576.375</x:v>
      </x:c>
      <x:c r="M506" s="23" t="str">
        <x:f>IF(B506&gt;44,"Validation","Training")</x:f>
        <x:v>Training</x:v>
      </x:c>
      <x:c r="N506" s="61" t="n">
        <x:f>IF(OR(H506="",E506=0),"",K506/E506)</x:f>
        <x:v>0.8840245775729647</x:v>
      </x:c>
    </x:row>
    <x:row r="507">
      <x:c r="A507" s="28" t="n">
        <x:v>40756</x:v>
      </x:c>
      <x:c r="B507" s="23" t="n">
        <x:v>35</x:v>
      </x:c>
      <x:c r="C507" s="23" t="str">
        <x:v>79321</x:v>
      </x:c>
      <x:c r="D507" s="23" t="str">
        <x:v>CHILLI LIGHTS</x:v>
      </x:c>
      <x:c r="E507" s="34" t="n">
        <x:v>87</x:v>
      </x:c>
      <x:c r="F507" s="55" t="n">
        <x:v>469.49</x:v>
      </x:c>
      <x:c r="G507" s="58" t="n">
        <x:f>E506</x:f>
        <x:v>651</x:v>
      </x:c>
      <x:c r="H507" s="58" t="n">
        <x:f>AVERAGE(E503:E506)</x:f>
        <x:v>210</x:v>
      </x:c>
      <x:c r="I507" s="58" t="n">
        <x:f>AVERAGE(E499:E506)</x:f>
        <x:v>152.625</x:v>
      </x:c>
      <x:c r="J507" s="58" t="n">
        <x:f>IF(G507="","",ABS(E507-G507))</x:f>
        <x:v>564</x:v>
      </x:c>
      <x:c r="K507" s="58" t="n">
        <x:f>IF(H507="","",ABS(E507-H507))</x:f>
        <x:v>123</x:v>
      </x:c>
      <x:c r="L507" s="58" t="n">
        <x:f>IF(I507="","",ABS(E507-I507))</x:f>
        <x:v>65.625</x:v>
      </x:c>
      <x:c r="M507" s="23" t="str">
        <x:f>IF(B507&gt;44,"Validation","Training")</x:f>
        <x:v>Training</x:v>
      </x:c>
      <x:c r="N507" s="61" t="n">
        <x:f>IF(OR(H507="",E507=0),"",K507/E507)</x:f>
        <x:v>1.4137931034482758</x:v>
      </x:c>
    </x:row>
    <x:row r="508">
      <x:c r="A508" s="28" t="n">
        <x:v>40763</x:v>
      </x:c>
      <x:c r="B508" s="23" t="n">
        <x:v>36</x:v>
      </x:c>
      <x:c r="C508" s="23" t="str">
        <x:v>79321</x:v>
      </x:c>
      <x:c r="D508" s="23" t="str">
        <x:v>CHILLI LIGHTS</x:v>
      </x:c>
      <x:c r="E508" s="34" t="n">
        <x:v>135</x:v>
      </x:c>
      <x:c r="F508" s="55" t="n">
        <x:v>727.22</x:v>
      </x:c>
      <x:c r="G508" s="58" t="n">
        <x:f>E507</x:f>
        <x:v>87</x:v>
      </x:c>
      <x:c r="H508" s="58" t="n">
        <x:f>AVERAGE(E504:E507)</x:f>
        <x:v>226</x:v>
      </x:c>
      <x:c r="I508" s="58" t="n">
        <x:f>AVERAGE(E500:E507)</x:f>
        <x:v>151.625</x:v>
      </x:c>
      <x:c r="J508" s="58" t="n">
        <x:f>IF(G508="","",ABS(E508-G508))</x:f>
        <x:v>48</x:v>
      </x:c>
      <x:c r="K508" s="58" t="n">
        <x:f>IF(H508="","",ABS(E508-H508))</x:f>
        <x:v>91</x:v>
      </x:c>
      <x:c r="L508" s="58" t="n">
        <x:f>IF(I508="","",ABS(E508-I508))</x:f>
        <x:v>16.625</x:v>
      </x:c>
      <x:c r="M508" s="23" t="str">
        <x:f>IF(B508&gt;44,"Validation","Training")</x:f>
        <x:v>Training</x:v>
      </x:c>
      <x:c r="N508" s="61" t="n">
        <x:f>IF(OR(H508="",E508=0),"",K508/E508)</x:f>
        <x:v>0.674074074074074</x:v>
      </x:c>
    </x:row>
    <x:row r="509">
      <x:c r="A509" s="28" t="n">
        <x:v>40770</x:v>
      </x:c>
      <x:c r="B509" s="23" t="n">
        <x:v>37</x:v>
      </x:c>
      <x:c r="C509" s="23" t="str">
        <x:v>79321</x:v>
      </x:c>
      <x:c r="D509" s="23" t="str">
        <x:v>CHILLI LIGHTS</x:v>
      </x:c>
      <x:c r="E509" s="34" t="n">
        <x:v>62</x:v>
      </x:c>
      <x:c r="F509" s="55" t="n">
        <x:v>371.78</x:v>
      </x:c>
      <x:c r="G509" s="58" t="n">
        <x:f>E508</x:f>
        <x:v>135</x:v>
      </x:c>
      <x:c r="H509" s="58" t="n">
        <x:f>AVERAGE(E505:E508)</x:f>
        <x:v>251.5</x:v>
      </x:c>
      <x:c r="I509" s="58" t="n">
        <x:f>AVERAGE(E501:E508)</x:f>
        <x:v>154.375</x:v>
      </x:c>
      <x:c r="J509" s="58" t="n">
        <x:f>IF(G509="","",ABS(E509-G509))</x:f>
        <x:v>73</x:v>
      </x:c>
      <x:c r="K509" s="58" t="n">
        <x:f>IF(H509="","",ABS(E509-H509))</x:f>
        <x:v>189.5</x:v>
      </x:c>
      <x:c r="L509" s="58" t="n">
        <x:f>IF(I509="","",ABS(E509-I509))</x:f>
        <x:v>92.375</x:v>
      </x:c>
      <x:c r="M509" s="23" t="str">
        <x:f>IF(B509&gt;44,"Validation","Training")</x:f>
        <x:v>Training</x:v>
      </x:c>
      <x:c r="N509" s="61" t="n">
        <x:f>IF(OR(H509="",E509=0),"",K509/E509)</x:f>
        <x:v>3.056451612903226</x:v>
      </x:c>
    </x:row>
    <x:row r="510">
      <x:c r="A510" s="28" t="n">
        <x:v>40777</x:v>
      </x:c>
      <x:c r="B510" s="23" t="n">
        <x:v>38</x:v>
      </x:c>
      <x:c r="C510" s="23" t="str">
        <x:v>79321</x:v>
      </x:c>
      <x:c r="D510" s="23" t="str">
        <x:v>CHILLI LIGHTS</x:v>
      </x:c>
      <x:c r="E510" s="34" t="n">
        <x:v>110</x:v>
      </x:c>
      <x:c r="F510" s="55" t="n">
        <x:v>642</x:v>
      </x:c>
      <x:c r="G510" s="58" t="n">
        <x:f>E509</x:f>
        <x:v>62</x:v>
      </x:c>
      <x:c r="H510" s="58" t="n">
        <x:f>AVERAGE(E506:E509)</x:f>
        <x:v>233.75</x:v>
      </x:c>
      <x:c r="I510" s="58" t="n">
        <x:f>AVERAGE(E502:E509)</x:f>
        <x:v>154.625</x:v>
      </x:c>
      <x:c r="J510" s="58" t="n">
        <x:f>IF(G510="","",ABS(E510-G510))</x:f>
        <x:v>48</x:v>
      </x:c>
      <x:c r="K510" s="58" t="n">
        <x:f>IF(H510="","",ABS(E510-H510))</x:f>
        <x:v>123.75</x:v>
      </x:c>
      <x:c r="L510" s="58" t="n">
        <x:f>IF(I510="","",ABS(E510-I510))</x:f>
        <x:v>44.625</x:v>
      </x:c>
      <x:c r="M510" s="23" t="str">
        <x:f>IF(B510&gt;44,"Validation","Training")</x:f>
        <x:v>Training</x:v>
      </x:c>
      <x:c r="N510" s="61" t="n">
        <x:f>IF(OR(H510="",E510=0),"",K510/E510)</x:f>
        <x:v>1.125</x:v>
      </x:c>
    </x:row>
    <x:row r="511">
      <x:c r="A511" s="28" t="n">
        <x:v>40784</x:v>
      </x:c>
      <x:c r="B511" s="23" t="n">
        <x:v>39</x:v>
      </x:c>
      <x:c r="C511" s="23" t="str">
        <x:v>79321</x:v>
      </x:c>
      <x:c r="D511" s="23" t="str">
        <x:v>CHILLI LIGHTS</x:v>
      </x:c>
      <x:c r="E511" s="34" t="n">
        <x:v>210</x:v>
      </x:c>
      <x:c r="F511" s="55" t="n">
        <x:v>1084.56</x:v>
      </x:c>
      <x:c r="G511" s="58" t="n">
        <x:f>E510</x:f>
        <x:v>110</x:v>
      </x:c>
      <x:c r="H511" s="58" t="n">
        <x:f>AVERAGE(E507:E510)</x:f>
        <x:v>98.5</x:v>
      </x:c>
      <x:c r="I511" s="58" t="n">
        <x:f>AVERAGE(E503:E510)</x:f>
        <x:v>154.25</x:v>
      </x:c>
      <x:c r="J511" s="58" t="n">
        <x:f>IF(G511="","",ABS(E511-G511))</x:f>
        <x:v>100</x:v>
      </x:c>
      <x:c r="K511" s="58" t="n">
        <x:f>IF(H511="","",ABS(E511-H511))</x:f>
        <x:v>111.5</x:v>
      </x:c>
      <x:c r="L511" s="58" t="n">
        <x:f>IF(I511="","",ABS(E511-I511))</x:f>
        <x:v>55.75</x:v>
      </x:c>
      <x:c r="M511" s="23" t="str">
        <x:f>IF(B511&gt;44,"Validation","Training")</x:f>
        <x:v>Training</x:v>
      </x:c>
      <x:c r="N511" s="61" t="n">
        <x:f>IF(OR(H511="",E511=0),"",K511/E511)</x:f>
        <x:v>0.530952380952381</x:v>
      </x:c>
    </x:row>
    <x:row r="512">
      <x:c r="A512" s="28" t="n">
        <x:v>40791</x:v>
      </x:c>
      <x:c r="B512" s="23" t="n">
        <x:v>40</x:v>
      </x:c>
      <x:c r="C512" s="23" t="str">
        <x:v>79321</x:v>
      </x:c>
      <x:c r="D512" s="23" t="str">
        <x:v>CHILLI LIGHTS</x:v>
      </x:c>
      <x:c r="E512" s="34" t="n">
        <x:v>71</x:v>
      </x:c>
      <x:c r="F512" s="55" t="n">
        <x:v>416.82</x:v>
      </x:c>
      <x:c r="G512" s="58" t="n">
        <x:f>E511</x:f>
        <x:v>210</x:v>
      </x:c>
      <x:c r="H512" s="58" t="n">
        <x:f>AVERAGE(E508:E511)</x:f>
        <x:v>129.25</x:v>
      </x:c>
      <x:c r="I512" s="58" t="n">
        <x:f>AVERAGE(E504:E511)</x:f>
        <x:v>177.625</x:v>
      </x:c>
      <x:c r="J512" s="58" t="n">
        <x:f>IF(G512="","",ABS(E512-G512))</x:f>
        <x:v>139</x:v>
      </x:c>
      <x:c r="K512" s="58" t="n">
        <x:f>IF(H512="","",ABS(E512-H512))</x:f>
        <x:v>58.25</x:v>
      </x:c>
      <x:c r="L512" s="58" t="n">
        <x:f>IF(I512="","",ABS(E512-I512))</x:f>
        <x:v>106.625</x:v>
      </x:c>
      <x:c r="M512" s="23" t="str">
        <x:f>IF(B512&gt;44,"Validation","Training")</x:f>
        <x:v>Training</x:v>
      </x:c>
      <x:c r="N512" s="61" t="n">
        <x:f>IF(OR(H512="",E512=0),"",K512/E512)</x:f>
        <x:v>0.8204225352112676</x:v>
      </x:c>
    </x:row>
    <x:row r="513">
      <x:c r="A513" s="28" t="n">
        <x:v>40798</x:v>
      </x:c>
      <x:c r="B513" s="23" t="n">
        <x:v>41</x:v>
      </x:c>
      <x:c r="C513" s="23" t="str">
        <x:v>79321</x:v>
      </x:c>
      <x:c r="D513" s="23" t="str">
        <x:v>CHILLI LIGHTS</x:v>
      </x:c>
      <x:c r="E513" s="34" t="n">
        <x:v>262</x:v>
      </x:c>
      <x:c r="F513" s="55" t="n">
        <x:v>1420.93</x:v>
      </x:c>
      <x:c r="G513" s="58" t="n">
        <x:f>E512</x:f>
        <x:v>71</x:v>
      </x:c>
      <x:c r="H513" s="58" t="n">
        <x:f>AVERAGE(E509:E512)</x:f>
        <x:v>113.25</x:v>
      </x:c>
      <x:c r="I513" s="58" t="n">
        <x:f>AVERAGE(E505:E512)</x:f>
        <x:v>182.375</x:v>
      </x:c>
      <x:c r="J513" s="58" t="n">
        <x:f>IF(G513="","",ABS(E513-G513))</x:f>
        <x:v>191</x:v>
      </x:c>
      <x:c r="K513" s="58" t="n">
        <x:f>IF(H513="","",ABS(E513-H513))</x:f>
        <x:v>148.75</x:v>
      </x:c>
      <x:c r="L513" s="58" t="n">
        <x:f>IF(I513="","",ABS(E513-I513))</x:f>
        <x:v>79.625</x:v>
      </x:c>
      <x:c r="M513" s="23" t="str">
        <x:f>IF(B513&gt;44,"Validation","Training")</x:f>
        <x:v>Training</x:v>
      </x:c>
      <x:c r="N513" s="61" t="n">
        <x:f>IF(OR(H513="",E513=0),"",K513/E513)</x:f>
        <x:v>0.5677480916030534</x:v>
      </x:c>
    </x:row>
    <x:row r="514">
      <x:c r="A514" s="28" t="n">
        <x:v>40805</x:v>
      </x:c>
      <x:c r="B514" s="23" t="n">
        <x:v>42</x:v>
      </x:c>
      <x:c r="C514" s="23" t="str">
        <x:v>79321</x:v>
      </x:c>
      <x:c r="D514" s="23" t="str">
        <x:v>CHILLI LIGHTS</x:v>
      </x:c>
      <x:c r="E514" s="34" t="n">
        <x:v>28</x:v>
      </x:c>
      <x:c r="F514" s="55" t="n">
        <x:v>201.26</x:v>
      </x:c>
      <x:c r="G514" s="58" t="n">
        <x:f>E513</x:f>
        <x:v>262</x:v>
      </x:c>
      <x:c r="H514" s="58" t="n">
        <x:f>AVERAGE(E510:E513)</x:f>
        <x:v>163.25</x:v>
      </x:c>
      <x:c r="I514" s="58" t="n">
        <x:f>AVERAGE(E506:E513)</x:f>
        <x:v>198.5</x:v>
      </x:c>
      <x:c r="J514" s="58" t="n">
        <x:f>IF(G514="","",ABS(E514-G514))</x:f>
        <x:v>234</x:v>
      </x:c>
      <x:c r="K514" s="58" t="n">
        <x:f>IF(H514="","",ABS(E514-H514))</x:f>
        <x:v>135.25</x:v>
      </x:c>
      <x:c r="L514" s="58" t="n">
        <x:f>IF(I514="","",ABS(E514-I514))</x:f>
        <x:v>170.5</x:v>
      </x:c>
      <x:c r="M514" s="23" t="str">
        <x:f>IF(B514&gt;44,"Validation","Training")</x:f>
        <x:v>Training</x:v>
      </x:c>
      <x:c r="N514" s="61" t="n">
        <x:f>IF(OR(H514="",E514=0),"",K514/E514)</x:f>
        <x:v>4.830357142857143</x:v>
      </x:c>
    </x:row>
    <x:row r="515">
      <x:c r="A515" s="28" t="n">
        <x:v>40812</x:v>
      </x:c>
      <x:c r="B515" s="23" t="n">
        <x:v>43</x:v>
      </x:c>
      <x:c r="C515" s="23" t="str">
        <x:v>79321</x:v>
      </x:c>
      <x:c r="D515" s="23" t="str">
        <x:v>CHILLI LIGHTS</x:v>
      </x:c>
      <x:c r="E515" s="34" t="n">
        <x:v>162</x:v>
      </x:c>
      <x:c r="F515" s="55" t="n">
        <x:v>875.76</x:v>
      </x:c>
      <x:c r="G515" s="58" t="n">
        <x:f>E514</x:f>
        <x:v>28</x:v>
      </x:c>
      <x:c r="H515" s="58" t="n">
        <x:f>AVERAGE(E511:E514)</x:f>
        <x:v>142.75</x:v>
      </x:c>
      <x:c r="I515" s="58" t="n">
        <x:f>AVERAGE(E507:E514)</x:f>
        <x:v>120.625</x:v>
      </x:c>
      <x:c r="J515" s="58" t="n">
        <x:f>IF(G515="","",ABS(E515-G515))</x:f>
        <x:v>134</x:v>
      </x:c>
      <x:c r="K515" s="58" t="n">
        <x:f>IF(H515="","",ABS(E515-H515))</x:f>
        <x:v>19.25</x:v>
      </x:c>
      <x:c r="L515" s="58" t="n">
        <x:f>IF(I515="","",ABS(E515-I515))</x:f>
        <x:v>41.375</x:v>
      </x:c>
      <x:c r="M515" s="23" t="str">
        <x:f>IF(B515&gt;44,"Validation","Training")</x:f>
        <x:v>Training</x:v>
      </x:c>
      <x:c r="N515" s="61" t="n">
        <x:f>IF(OR(H515="",E515=0),"",K515/E515)</x:f>
        <x:v>0.11882716049382716</x:v>
      </x:c>
    </x:row>
    <x:row r="516">
      <x:c r="A516" s="28" t="n">
        <x:v>40819</x:v>
      </x:c>
      <x:c r="B516" s="23" t="n">
        <x:v>44</x:v>
      </x:c>
      <x:c r="C516" s="23" t="str">
        <x:v>79321</x:v>
      </x:c>
      <x:c r="D516" s="23" t="str">
        <x:v>CHILLI LIGHTS</x:v>
      </x:c>
      <x:c r="E516" s="34" t="n">
        <x:v>51</x:v>
      </x:c>
      <x:c r="F516" s="55" t="n">
        <x:v>360.35</x:v>
      </x:c>
      <x:c r="G516" s="58" t="n">
        <x:f>E515</x:f>
        <x:v>162</x:v>
      </x:c>
      <x:c r="H516" s="58" t="n">
        <x:f>AVERAGE(E512:E515)</x:f>
        <x:v>130.75</x:v>
      </x:c>
      <x:c r="I516" s="58" t="n">
        <x:f>AVERAGE(E508:E515)</x:f>
        <x:v>130</x:v>
      </x:c>
      <x:c r="J516" s="58" t="n">
        <x:f>IF(G516="","",ABS(E516-G516))</x:f>
        <x:v>111</x:v>
      </x:c>
      <x:c r="K516" s="58" t="n">
        <x:f>IF(H516="","",ABS(E516-H516))</x:f>
        <x:v>79.75</x:v>
      </x:c>
      <x:c r="L516" s="58" t="n">
        <x:f>IF(I516="","",ABS(E516-I516))</x:f>
        <x:v>79</x:v>
      </x:c>
      <x:c r="M516" s="23" t="str">
        <x:f>IF(B516&gt;44,"Validation","Training")</x:f>
        <x:v>Training</x:v>
      </x:c>
      <x:c r="N516" s="61" t="n">
        <x:f>IF(OR(H516="",E516=0),"",K516/E516)</x:f>
        <x:v>1.5637254901960784</x:v>
      </x:c>
    </x:row>
    <x:row r="517">
      <x:c r="A517" s="28" t="n">
        <x:v>40826</x:v>
      </x:c>
      <x:c r="B517" s="23" t="n">
        <x:v>45</x:v>
      </x:c>
      <x:c r="C517" s="23" t="str">
        <x:v>79321</x:v>
      </x:c>
      <x:c r="D517" s="23" t="str">
        <x:v>CHILLI LIGHTS</x:v>
      </x:c>
      <x:c r="E517" s="34" t="n">
        <x:v>150</x:v>
      </x:c>
      <x:c r="F517" s="55" t="n">
        <x:v>819.25</x:v>
      </x:c>
      <x:c r="G517" s="58" t="n">
        <x:f>E516</x:f>
        <x:v>51</x:v>
      </x:c>
      <x:c r="H517" s="58" t="n">
        <x:f>AVERAGE(E513:E516)</x:f>
        <x:v>125.75</x:v>
      </x:c>
      <x:c r="I517" s="58" t="n">
        <x:f>AVERAGE(E509:E516)</x:f>
        <x:v>119.5</x:v>
      </x:c>
      <x:c r="J517" s="58" t="n">
        <x:f>IF(G517="","",ABS(E517-G517))</x:f>
        <x:v>99</x:v>
      </x:c>
      <x:c r="K517" s="58" t="n">
        <x:f>IF(H517="","",ABS(E517-H517))</x:f>
        <x:v>24.25</x:v>
      </x:c>
      <x:c r="L517" s="58" t="n">
        <x:f>IF(I517="","",ABS(E517-I517))</x:f>
        <x:v>30.5</x:v>
      </x:c>
      <x:c r="M517" s="23" t="str">
        <x:f>IF(B517&gt;44,"Validation","Training")</x:f>
        <x:v>Validation</x:v>
      </x:c>
      <x:c r="N517" s="61" t="n">
        <x:f>IF(OR(H517="",E517=0),"",K517/E517)</x:f>
        <x:v>0.16166666666666665</x:v>
      </x:c>
    </x:row>
    <x:row r="518">
      <x:c r="A518" s="28" t="n">
        <x:v>40833</x:v>
      </x:c>
      <x:c r="B518" s="23" t="n">
        <x:v>46</x:v>
      </x:c>
      <x:c r="C518" s="23" t="str">
        <x:v>79321</x:v>
      </x:c>
      <x:c r="D518" s="23" t="str">
        <x:v>CHILLI LIGHTS</x:v>
      </x:c>
      <x:c r="E518" s="34" t="n">
        <x:v>109</x:v>
      </x:c>
      <x:c r="F518" s="55" t="n">
        <x:v>710.37</x:v>
      </x:c>
      <x:c r="G518" s="58" t="n">
        <x:f>E517</x:f>
        <x:v>150</x:v>
      </x:c>
      <x:c r="H518" s="58" t="n">
        <x:f>AVERAGE(E514:E517)</x:f>
        <x:v>97.75</x:v>
      </x:c>
      <x:c r="I518" s="58" t="n">
        <x:f>AVERAGE(E510:E517)</x:f>
        <x:v>130.5</x:v>
      </x:c>
      <x:c r="J518" s="58" t="n">
        <x:f>IF(G518="","",ABS(E518-G518))</x:f>
        <x:v>41</x:v>
      </x:c>
      <x:c r="K518" s="58" t="n">
        <x:f>IF(H518="","",ABS(E518-H518))</x:f>
        <x:v>11.25</x:v>
      </x:c>
      <x:c r="L518" s="58" t="n">
        <x:f>IF(I518="","",ABS(E518-I518))</x:f>
        <x:v>21.5</x:v>
      </x:c>
      <x:c r="M518" s="23" t="str">
        <x:f>IF(B518&gt;44,"Validation","Training")</x:f>
        <x:v>Validation</x:v>
      </x:c>
      <x:c r="N518" s="61" t="n">
        <x:f>IF(OR(H518="",E518=0),"",K518/E518)</x:f>
        <x:v>0.10321100917431193</x:v>
      </x:c>
    </x:row>
    <x:row r="519">
      <x:c r="A519" s="28" t="n">
        <x:v>40840</x:v>
      </x:c>
      <x:c r="B519" s="23" t="n">
        <x:v>47</x:v>
      </x:c>
      <x:c r="C519" s="23" t="str">
        <x:v>79321</x:v>
      </x:c>
      <x:c r="D519" s="23" t="str">
        <x:v>CHILLI LIGHTS</x:v>
      </x:c>
      <x:c r="E519" s="34" t="n">
        <x:v>431</x:v>
      </x:c>
      <x:c r="F519" s="55" t="n">
        <x:v>2285.12</x:v>
      </x:c>
      <x:c r="G519" s="58" t="n">
        <x:f>E518</x:f>
        <x:v>109</x:v>
      </x:c>
      <x:c r="H519" s="58" t="n">
        <x:f>AVERAGE(E515:E518)</x:f>
        <x:v>118</x:v>
      </x:c>
      <x:c r="I519" s="58" t="n">
        <x:f>AVERAGE(E511:E518)</x:f>
        <x:v>130.375</x:v>
      </x:c>
      <x:c r="J519" s="58" t="n">
        <x:f>IF(G519="","",ABS(E519-G519))</x:f>
        <x:v>322</x:v>
      </x:c>
      <x:c r="K519" s="58" t="n">
        <x:f>IF(H519="","",ABS(E519-H519))</x:f>
        <x:v>313</x:v>
      </x:c>
      <x:c r="L519" s="58" t="n">
        <x:f>IF(I519="","",ABS(E519-I519))</x:f>
        <x:v>300.625</x:v>
      </x:c>
      <x:c r="M519" s="23" t="str">
        <x:f>IF(B519&gt;44,"Validation","Training")</x:f>
        <x:v>Validation</x:v>
      </x:c>
      <x:c r="N519" s="61" t="n">
        <x:f>IF(OR(H519="",E519=0),"",K519/E519)</x:f>
        <x:v>0.7262180974477959</x:v>
      </x:c>
    </x:row>
    <x:row r="520">
      <x:c r="A520" s="28" t="n">
        <x:v>40847</x:v>
      </x:c>
      <x:c r="B520" s="23" t="n">
        <x:v>48</x:v>
      </x:c>
      <x:c r="C520" s="23" t="str">
        <x:v>79321</x:v>
      </x:c>
      <x:c r="D520" s="23" t="str">
        <x:v>CHILLI LIGHTS</x:v>
      </x:c>
      <x:c r="E520" s="34" t="n">
        <x:v>166</x:v>
      </x:c>
      <x:c r="F520" s="55" t="n">
        <x:v>1123.75</x:v>
      </x:c>
      <x:c r="G520" s="58" t="n">
        <x:f>E519</x:f>
        <x:v>431</x:v>
      </x:c>
      <x:c r="H520" s="58" t="n">
        <x:f>AVERAGE(E516:E519)</x:f>
        <x:v>185.25</x:v>
      </x:c>
      <x:c r="I520" s="58" t="n">
        <x:f>AVERAGE(E512:E519)</x:f>
        <x:v>158</x:v>
      </x:c>
      <x:c r="J520" s="58" t="n">
        <x:f>IF(G520="","",ABS(E520-G520))</x:f>
        <x:v>265</x:v>
      </x:c>
      <x:c r="K520" s="58" t="n">
        <x:f>IF(H520="","",ABS(E520-H520))</x:f>
        <x:v>19.25</x:v>
      </x:c>
      <x:c r="L520" s="58" t="n">
        <x:f>IF(I520="","",ABS(E520-I520))</x:f>
        <x:v>8</x:v>
      </x:c>
      <x:c r="M520" s="23" t="str">
        <x:f>IF(B520&gt;44,"Validation","Training")</x:f>
        <x:v>Validation</x:v>
      </x:c>
      <x:c r="N520" s="61" t="n">
        <x:f>IF(OR(H520="",E520=0),"",K520/E520)</x:f>
        <x:v>0.11596385542168675</x:v>
      </x:c>
    </x:row>
    <x:row r="521">
      <x:c r="A521" s="28" t="n">
        <x:v>40854</x:v>
      </x:c>
      <x:c r="B521" s="23" t="n">
        <x:v>49</x:v>
      </x:c>
      <x:c r="C521" s="23" t="str">
        <x:v>79321</x:v>
      </x:c>
      <x:c r="D521" s="23" t="str">
        <x:v>CHILLI LIGHTS</x:v>
      </x:c>
      <x:c r="E521" s="34" t="n">
        <x:v>482</x:v>
      </x:c>
      <x:c r="F521" s="55" t="n">
        <x:v>2533.26</x:v>
      </x:c>
      <x:c r="G521" s="58" t="n">
        <x:f>E520</x:f>
        <x:v>166</x:v>
      </x:c>
      <x:c r="H521" s="58" t="n">
        <x:f>AVERAGE(E517:E520)</x:f>
        <x:v>214</x:v>
      </x:c>
      <x:c r="I521" s="58" t="n">
        <x:f>AVERAGE(E513:E520)</x:f>
        <x:v>169.875</x:v>
      </x:c>
      <x:c r="J521" s="58" t="n">
        <x:f>IF(G521="","",ABS(E521-G521))</x:f>
        <x:v>316</x:v>
      </x:c>
      <x:c r="K521" s="58" t="n">
        <x:f>IF(H521="","",ABS(E521-H521))</x:f>
        <x:v>268</x:v>
      </x:c>
      <x:c r="L521" s="58" t="n">
        <x:f>IF(I521="","",ABS(E521-I521))</x:f>
        <x:v>312.125</x:v>
      </x:c>
      <x:c r="M521" s="23" t="str">
        <x:f>IF(B521&gt;44,"Validation","Training")</x:f>
        <x:v>Validation</x:v>
      </x:c>
      <x:c r="N521" s="61" t="n">
        <x:f>IF(OR(H521="",E521=0),"",K521/E521)</x:f>
        <x:v>0.5560165975103735</x:v>
      </x:c>
    </x:row>
    <x:row r="522">
      <x:c r="A522" s="28" t="n">
        <x:v>40861</x:v>
      </x:c>
      <x:c r="B522" s="23" t="n">
        <x:v>50</x:v>
      </x:c>
      <x:c r="C522" s="23" t="str">
        <x:v>79321</x:v>
      </x:c>
      <x:c r="D522" s="23" t="str">
        <x:v>CHILLI LIGHTS</x:v>
      </x:c>
      <x:c r="E522" s="34" t="n">
        <x:v>389</x:v>
      </x:c>
      <x:c r="F522" s="55" t="n">
        <x:v>2307.01</x:v>
      </x:c>
      <x:c r="G522" s="58" t="n">
        <x:f>E521</x:f>
        <x:v>482</x:v>
      </x:c>
      <x:c r="H522" s="58" t="n">
        <x:f>AVERAGE(E518:E521)</x:f>
        <x:v>297</x:v>
      </x:c>
      <x:c r="I522" s="58" t="n">
        <x:f>AVERAGE(E514:E521)</x:f>
        <x:v>197.375</x:v>
      </x:c>
      <x:c r="J522" s="58" t="n">
        <x:f>IF(G522="","",ABS(E522-G522))</x:f>
        <x:v>93</x:v>
      </x:c>
      <x:c r="K522" s="58" t="n">
        <x:f>IF(H522="","",ABS(E522-H522))</x:f>
        <x:v>92</x:v>
      </x:c>
      <x:c r="L522" s="58" t="n">
        <x:f>IF(I522="","",ABS(E522-I522))</x:f>
        <x:v>191.625</x:v>
      </x:c>
      <x:c r="M522" s="23" t="str">
        <x:f>IF(B522&gt;44,"Validation","Training")</x:f>
        <x:v>Validation</x:v>
      </x:c>
      <x:c r="N522" s="61" t="n">
        <x:f>IF(OR(H522="",E522=0),"",K522/E522)</x:f>
        <x:v>0.2365038560411311</x:v>
      </x:c>
    </x:row>
    <x:row r="523">
      <x:c r="A523" s="28" t="n">
        <x:v>40868</x:v>
      </x:c>
      <x:c r="B523" s="23" t="n">
        <x:v>51</x:v>
      </x:c>
      <x:c r="C523" s="23" t="str">
        <x:v>79321</x:v>
      </x:c>
      <x:c r="D523" s="23" t="str">
        <x:v>CHILLI LIGHTS</x:v>
      </x:c>
      <x:c r="E523" s="34" t="n">
        <x:v>959</x:v>
      </x:c>
      <x:c r="F523" s="55" t="n">
        <x:v>4960.25</x:v>
      </x:c>
      <x:c r="G523" s="58" t="n">
        <x:f>E522</x:f>
        <x:v>389</x:v>
      </x:c>
      <x:c r="H523" s="58" t="n">
        <x:f>AVERAGE(E519:E522)</x:f>
        <x:v>367</x:v>
      </x:c>
      <x:c r="I523" s="58" t="n">
        <x:f>AVERAGE(E515:E522)</x:f>
        <x:v>242.5</x:v>
      </x:c>
      <x:c r="J523" s="58" t="n">
        <x:f>IF(G523="","",ABS(E523-G523))</x:f>
        <x:v>570</x:v>
      </x:c>
      <x:c r="K523" s="58" t="n">
        <x:f>IF(H523="","",ABS(E523-H523))</x:f>
        <x:v>592</x:v>
      </x:c>
      <x:c r="L523" s="58" t="n">
        <x:f>IF(I523="","",ABS(E523-I523))</x:f>
        <x:v>716.5</x:v>
      </x:c>
      <x:c r="M523" s="23" t="str">
        <x:f>IF(B523&gt;44,"Validation","Training")</x:f>
        <x:v>Validation</x:v>
      </x:c>
      <x:c r="N523" s="61" t="n">
        <x:f>IF(OR(H523="",E523=0),"",K523/E523)</x:f>
        <x:v>0.6173096976016684</x:v>
      </x:c>
    </x:row>
    <x:row r="524">
      <x:c r="A524" s="28" t="n">
        <x:v>40875</x:v>
      </x:c>
      <x:c r="B524" s="23" t="n">
        <x:v>52</x:v>
      </x:c>
      <x:c r="C524" s="23" t="str">
        <x:v>79321</x:v>
      </x:c>
      <x:c r="D524" s="23" t="str">
        <x:v>CHILLI LIGHTS</x:v>
      </x:c>
      <x:c r="E524" s="34" t="n">
        <x:v>314</x:v>
      </x:c>
      <x:c r="F524" s="55" t="n">
        <x:v>1717.92</x:v>
      </x:c>
      <x:c r="G524" s="58" t="n">
        <x:f>E523</x:f>
        <x:v>959</x:v>
      </x:c>
      <x:c r="H524" s="58" t="n">
        <x:f>AVERAGE(E520:E523)</x:f>
        <x:v>499</x:v>
      </x:c>
      <x:c r="I524" s="58" t="n">
        <x:f>AVERAGE(E516:E523)</x:f>
        <x:v>342.125</x:v>
      </x:c>
      <x:c r="J524" s="58" t="n">
        <x:f>IF(G524="","",ABS(E524-G524))</x:f>
        <x:v>645</x:v>
      </x:c>
      <x:c r="K524" s="58" t="n">
        <x:f>IF(H524="","",ABS(E524-H524))</x:f>
        <x:v>185</x:v>
      </x:c>
      <x:c r="L524" s="58" t="n">
        <x:f>IF(I524="","",ABS(E524-I524))</x:f>
        <x:v>28.125</x:v>
      </x:c>
      <x:c r="M524" s="23" t="str">
        <x:f>IF(B524&gt;44,"Validation","Training")</x:f>
        <x:v>Validation</x:v>
      </x:c>
      <x:c r="N524" s="61" t="n">
        <x:f>IF(OR(H524="",E524=0),"",K524/E524)</x:f>
        <x:v>0.589171974522293</x:v>
      </x:c>
    </x:row>
    <x:row r="525">
      <x:c r="A525" s="28" t="n">
        <x:v>40518</x:v>
      </x:c>
      <x:c r="B525" s="23" t="n">
        <x:v>1</x:v>
      </x:c>
      <x:c r="C525" s="23" t="str">
        <x:v>22197</x:v>
      </x:c>
      <x:c r="D525" s="23" t="str">
        <x:v>POPCORN HOLDER</x:v>
      </x:c>
      <x:c r="E525" s="34" t="n">
        <x:v>1012</x:v>
      </x:c>
      <x:c r="F525" s="55" t="n">
        <x:v>1073.15</x:v>
      </x:c>
      <x:c r="G525" s="58" t="str">
        <x:f>""</x:f>
      </x:c>
      <x:c r="H525" s="58" t="str">
        <x:f>""</x:f>
      </x:c>
      <x:c r="I525" s="58" t="str">
        <x:f>""</x:f>
      </x:c>
      <x:c r="J525" s="58" t="str">
        <x:f>IF(G525="","",ABS(E525-G525))</x:f>
      </x:c>
      <x:c r="K525" s="58" t="str">
        <x:f>IF(H525="","",ABS(E525-H525))</x:f>
      </x:c>
      <x:c r="L525" s="58" t="str">
        <x:f>IF(I525="","",ABS(E525-I525))</x:f>
      </x:c>
      <x:c r="M525" s="23" t="str">
        <x:f>IF(B525&gt;44,"Validation","Training")</x:f>
        <x:v>Training</x:v>
      </x:c>
      <x:c r="N525" s="61" t="str">
        <x:f>IF(OR(H525="",E525=0),"",K525/E525)</x:f>
      </x:c>
    </x:row>
    <x:row r="526">
      <x:c r="A526" s="28" t="n">
        <x:v>40525</x:v>
      </x:c>
      <x:c r="B526" s="23" t="n">
        <x:v>2</x:v>
      </x:c>
      <x:c r="C526" s="23" t="str">
        <x:v>22197</x:v>
      </x:c>
      <x:c r="D526" s="23" t="str">
        <x:v>POPCORN HOLDER</x:v>
      </x:c>
      <x:c r="E526" s="34" t="n">
        <x:v>981</x:v>
      </x:c>
      <x:c r="F526" s="55" t="n">
        <x:v>837.62</x:v>
      </x:c>
      <x:c r="G526" s="58" t="n">
        <x:f>E525</x:f>
        <x:v>1012</x:v>
      </x:c>
      <x:c r="H526" s="58" t="str">
        <x:f>""</x:f>
      </x:c>
      <x:c r="I526" s="58" t="str">
        <x:f>""</x:f>
      </x:c>
      <x:c r="J526" s="58" t="n">
        <x:f>IF(G526="","",ABS(E526-G526))</x:f>
        <x:v>31</x:v>
      </x:c>
      <x:c r="K526" s="58" t="str">
        <x:f>IF(H526="","",ABS(E526-H526))</x:f>
      </x:c>
      <x:c r="L526" s="58" t="str">
        <x:f>IF(I526="","",ABS(E526-I526))</x:f>
      </x:c>
      <x:c r="M526" s="23" t="str">
        <x:f>IF(B526&gt;44,"Validation","Training")</x:f>
        <x:v>Training</x:v>
      </x:c>
      <x:c r="N526" s="61" t="str">
        <x:f>IF(OR(H526="",E526=0),"",K526/E526)</x:f>
      </x:c>
    </x:row>
    <x:row r="527">
      <x:c r="A527" s="28" t="n">
        <x:v>40532</x:v>
      </x:c>
      <x:c r="B527" s="23" t="n">
        <x:v>3</x:v>
      </x:c>
      <x:c r="C527" s="23" t="str">
        <x:v>22197</x:v>
      </x:c>
      <x:c r="D527" s="23" t="str">
        <x:v>POPCORN HOLDER</x:v>
      </x:c>
      <x:c r="E527" s="34" t="n">
        <x:v>252</x:v>
      </x:c>
      <x:c r="F527" s="55" t="n">
        <x:v>249.98</x:v>
      </x:c>
      <x:c r="G527" s="58" t="n">
        <x:f>E526</x:f>
        <x:v>981</x:v>
      </x:c>
      <x:c r="H527" s="58" t="str">
        <x:f>""</x:f>
      </x:c>
      <x:c r="I527" s="58" t="str">
        <x:f>""</x:f>
      </x:c>
      <x:c r="J527" s="58" t="n">
        <x:f>IF(G527="","",ABS(E527-G527))</x:f>
        <x:v>729</x:v>
      </x:c>
      <x:c r="K527" s="58" t="str">
        <x:f>IF(H527="","",ABS(E527-H527))</x:f>
      </x:c>
      <x:c r="L527" s="58" t="str">
        <x:f>IF(I527="","",ABS(E527-I527))</x:f>
      </x:c>
      <x:c r="M527" s="23" t="str">
        <x:f>IF(B527&gt;44,"Validation","Training")</x:f>
        <x:v>Training</x:v>
      </x:c>
      <x:c r="N527" s="61" t="str">
        <x:f>IF(OR(H527="",E527=0),"",K527/E527)</x:f>
      </x:c>
    </x:row>
    <x:row r="528">
      <x:c r="A528" s="28" t="n">
        <x:v>40539</x:v>
      </x:c>
      <x:c r="B528" s="23" t="n">
        <x:v>4</x:v>
      </x:c>
      <x:c r="C528" s="23" t="str">
        <x:v>22197</x:v>
      </x:c>
      <x:c r="D528" s="23" t="str">
        <x:v>POPCORN HOLDER</x:v>
      </x:c>
      <x:c r="E528" s="34" t="n">
        <x:v>0</x:v>
      </x:c>
      <x:c r="F528" s="55" t="n">
        <x:v>0</x:v>
      </x:c>
      <x:c r="G528" s="58" t="n">
        <x:f>E527</x:f>
        <x:v>252</x:v>
      </x:c>
      <x:c r="H528" s="58" t="str">
        <x:f>""</x:f>
      </x:c>
      <x:c r="I528" s="58" t="str">
        <x:f>""</x:f>
      </x:c>
      <x:c r="J528" s="58" t="n">
        <x:f>IF(G528="","",ABS(E528-G528))</x:f>
        <x:v>252</x:v>
      </x:c>
      <x:c r="K528" s="58" t="str">
        <x:f>IF(H528="","",ABS(E528-H528))</x:f>
      </x:c>
      <x:c r="L528" s="58" t="str">
        <x:f>IF(I528="","",ABS(E528-I528))</x:f>
      </x:c>
      <x:c r="M528" s="23" t="str">
        <x:f>IF(B528&gt;44,"Validation","Training")</x:f>
        <x:v>Training</x:v>
      </x:c>
      <x:c r="N528" s="61" t="str">
        <x:f>IF(OR(H528="",E528=0),"",K528/E528)</x:f>
      </x:c>
    </x:row>
    <x:row r="529">
      <x:c r="A529" s="28" t="n">
        <x:v>40546</x:v>
      </x:c>
      <x:c r="B529" s="23" t="n">
        <x:v>5</x:v>
      </x:c>
      <x:c r="C529" s="23" t="str">
        <x:v>22197</x:v>
      </x:c>
      <x:c r="D529" s="23" t="str">
        <x:v>POPCORN HOLDER</x:v>
      </x:c>
      <x:c r="E529" s="34" t="n">
        <x:v>807</x:v>
      </x:c>
      <x:c r="F529" s="55" t="n">
        <x:v>609.57</x:v>
      </x:c>
      <x:c r="G529" s="58" t="n">
        <x:f>E528</x:f>
        <x:v>0</x:v>
      </x:c>
      <x:c r="H529" s="58" t="n">
        <x:f>AVERAGE(E525:E528)</x:f>
        <x:v>561.25</x:v>
      </x:c>
      <x:c r="I529" s="58" t="str">
        <x:f>""</x:f>
      </x:c>
      <x:c r="J529" s="58" t="str">
        <x:f>IF(G529="","",ABS(E529-G529))</x:f>
      </x:c>
      <x:c r="K529" s="58" t="n">
        <x:f>IF(H529="","",ABS(E529-H529))</x:f>
        <x:v>245.75</x:v>
      </x:c>
      <x:c r="L529" s="58" t="str">
        <x:f>IF(I529="","",ABS(E529-I529))</x:f>
      </x:c>
      <x:c r="M529" s="23" t="str">
        <x:f>IF(B529&gt;44,"Validation","Training")</x:f>
        <x:v>Training</x:v>
      </x:c>
      <x:c r="N529" s="61" t="n">
        <x:f>IF(OR(H529="",E529=0),"",K529/E529)</x:f>
        <x:v>0.3045229244114003</x:v>
      </x:c>
    </x:row>
    <x:row r="530">
      <x:c r="A530" s="28" t="n">
        <x:v>40553</x:v>
      </x:c>
      <x:c r="B530" s="23" t="n">
        <x:v>6</x:v>
      </x:c>
      <x:c r="C530" s="23" t="str">
        <x:v>22197</x:v>
      </x:c>
      <x:c r="D530" s="23" t="str">
        <x:v>POPCORN HOLDER</x:v>
      </x:c>
      <x:c r="E530" s="34" t="n">
        <x:v>344</x:v>
      </x:c>
      <x:c r="F530" s="55" t="n">
        <x:v>306.06</x:v>
      </x:c>
      <x:c r="G530" s="58" t="n">
        <x:f>E529</x:f>
        <x:v>807</x:v>
      </x:c>
      <x:c r="H530" s="58" t="n">
        <x:f>AVERAGE(E526:E529)</x:f>
        <x:v>510</x:v>
      </x:c>
      <x:c r="I530" s="58" t="str">
        <x:f>""</x:f>
      </x:c>
      <x:c r="J530" s="58" t="n">
        <x:f>IF(G530="","",ABS(E530-G530))</x:f>
        <x:v>463</x:v>
      </x:c>
      <x:c r="K530" s="58" t="n">
        <x:f>IF(H530="","",ABS(E530-H530))</x:f>
        <x:v>166</x:v>
      </x:c>
      <x:c r="L530" s="58" t="str">
        <x:f>IF(I530="","",ABS(E530-I530))</x:f>
      </x:c>
      <x:c r="M530" s="23" t="str">
        <x:f>IF(B530&gt;44,"Validation","Training")</x:f>
        <x:v>Training</x:v>
      </x:c>
      <x:c r="N530" s="61" t="n">
        <x:f>IF(OR(H530="",E530=0),"",K530/E530)</x:f>
        <x:v>0.48255813953488375</x:v>
      </x:c>
    </x:row>
    <x:row r="531">
      <x:c r="A531" s="28" t="n">
        <x:v>40560</x:v>
      </x:c>
      <x:c r="B531" s="23" t="n">
        <x:v>7</x:v>
      </x:c>
      <x:c r="C531" s="23" t="str">
        <x:v>22197</x:v>
      </x:c>
      <x:c r="D531" s="23" t="str">
        <x:v>POPCORN HOLDER</x:v>
      </x:c>
      <x:c r="E531" s="34" t="n">
        <x:v>261</x:v>
      </x:c>
      <x:c r="F531" s="55" t="n">
        <x:v>232.25</x:v>
      </x:c>
      <x:c r="G531" s="58" t="n">
        <x:f>E530</x:f>
        <x:v>344</x:v>
      </x:c>
      <x:c r="H531" s="58" t="n">
        <x:f>AVERAGE(E527:E530)</x:f>
        <x:v>350.75</x:v>
      </x:c>
      <x:c r="I531" s="58" t="str">
        <x:f>""</x:f>
      </x:c>
      <x:c r="J531" s="58" t="n">
        <x:f>IF(G531="","",ABS(E531-G531))</x:f>
        <x:v>83</x:v>
      </x:c>
      <x:c r="K531" s="58" t="n">
        <x:f>IF(H531="","",ABS(E531-H531))</x:f>
        <x:v>89.75</x:v>
      </x:c>
      <x:c r="L531" s="58" t="str">
        <x:f>IF(I531="","",ABS(E531-I531))</x:f>
      </x:c>
      <x:c r="M531" s="23" t="str">
        <x:f>IF(B531&gt;44,"Validation","Training")</x:f>
        <x:v>Training</x:v>
      </x:c>
      <x:c r="N531" s="61" t="n">
        <x:f>IF(OR(H531="",E531=0),"",K531/E531)</x:f>
        <x:v>0.3438697318007663</x:v>
      </x:c>
    </x:row>
    <x:row r="532">
      <x:c r="A532" s="28" t="n">
        <x:v>40567</x:v>
      </x:c>
      <x:c r="B532" s="23" t="n">
        <x:v>8</x:v>
      </x:c>
      <x:c r="C532" s="23" t="str">
        <x:v>22197</x:v>
      </x:c>
      <x:c r="D532" s="23" t="str">
        <x:v>POPCORN HOLDER</x:v>
      </x:c>
      <x:c r="E532" s="34" t="n">
        <x:v>351</x:v>
      </x:c>
      <x:c r="F532" s="55" t="n">
        <x:v>291.85</x:v>
      </x:c>
      <x:c r="G532" s="58" t="n">
        <x:f>E531</x:f>
        <x:v>261</x:v>
      </x:c>
      <x:c r="H532" s="58" t="n">
        <x:f>AVERAGE(E528:E531)</x:f>
        <x:v>353</x:v>
      </x:c>
      <x:c r="I532" s="58" t="str">
        <x:f>""</x:f>
      </x:c>
      <x:c r="J532" s="58" t="n">
        <x:f>IF(G532="","",ABS(E532-G532))</x:f>
        <x:v>90</x:v>
      </x:c>
      <x:c r="K532" s="58" t="n">
        <x:f>IF(H532="","",ABS(E532-H532))</x:f>
        <x:v>2</x:v>
      </x:c>
      <x:c r="L532" s="58" t="str">
        <x:f>IF(I532="","",ABS(E532-I532))</x:f>
      </x:c>
      <x:c r="M532" s="23" t="str">
        <x:f>IF(B532&gt;44,"Validation","Training")</x:f>
        <x:v>Training</x:v>
      </x:c>
      <x:c r="N532" s="61" t="n">
        <x:f>IF(OR(H532="",E532=0),"",K532/E532)</x:f>
        <x:v>0.005698005698005698</x:v>
      </x:c>
    </x:row>
    <x:row r="533">
      <x:c r="A533" s="28" t="n">
        <x:v>40574</x:v>
      </x:c>
      <x:c r="B533" s="23" t="n">
        <x:v>9</x:v>
      </x:c>
      <x:c r="C533" s="23" t="str">
        <x:v>22197</x:v>
      </x:c>
      <x:c r="D533" s="23" t="str">
        <x:v>POPCORN HOLDER</x:v>
      </x:c>
      <x:c r="E533" s="34" t="n">
        <x:v>107</x:v>
      </x:c>
      <x:c r="F533" s="55" t="n">
        <x:v>126.05</x:v>
      </x:c>
      <x:c r="G533" s="58" t="n">
        <x:f>E532</x:f>
        <x:v>351</x:v>
      </x:c>
      <x:c r="H533" s="58" t="n">
        <x:f>AVERAGE(E529:E532)</x:f>
        <x:v>440.75</x:v>
      </x:c>
      <x:c r="I533" s="58" t="n">
        <x:f>AVERAGE(E525:E532)</x:f>
        <x:v>501</x:v>
      </x:c>
      <x:c r="J533" s="58" t="n">
        <x:f>IF(G533="","",ABS(E533-G533))</x:f>
        <x:v>244</x:v>
      </x:c>
      <x:c r="K533" s="58" t="n">
        <x:f>IF(H533="","",ABS(E533-H533))</x:f>
        <x:v>333.75</x:v>
      </x:c>
      <x:c r="L533" s="58" t="n">
        <x:f>IF(I533="","",ABS(E533-I533))</x:f>
        <x:v>394</x:v>
      </x:c>
      <x:c r="M533" s="23" t="str">
        <x:f>IF(B533&gt;44,"Validation","Training")</x:f>
        <x:v>Training</x:v>
      </x:c>
      <x:c r="N533" s="61" t="n">
        <x:f>IF(OR(H533="",E533=0),"",K533/E533)</x:f>
        <x:v>3.119158878504673</x:v>
      </x:c>
    </x:row>
    <x:row r="534">
      <x:c r="A534" s="28" t="n">
        <x:v>40581</x:v>
      </x:c>
      <x:c r="B534" s="23" t="n">
        <x:v>10</x:v>
      </x:c>
      <x:c r="C534" s="23" t="str">
        <x:v>22197</x:v>
      </x:c>
      <x:c r="D534" s="23" t="str">
        <x:v>POPCORN HOLDER</x:v>
      </x:c>
      <x:c r="E534" s="34" t="n">
        <x:v>239</x:v>
      </x:c>
      <x:c r="F534" s="55" t="n">
        <x:v>217.45</x:v>
      </x:c>
      <x:c r="G534" s="58" t="n">
        <x:f>E533</x:f>
        <x:v>107</x:v>
      </x:c>
      <x:c r="H534" s="58" t="n">
        <x:f>AVERAGE(E530:E533)</x:f>
        <x:v>265.75</x:v>
      </x:c>
      <x:c r="I534" s="58" t="n">
        <x:f>AVERAGE(E526:E533)</x:f>
        <x:v>387.875</x:v>
      </x:c>
      <x:c r="J534" s="58" t="n">
        <x:f>IF(G534="","",ABS(E534-G534))</x:f>
        <x:v>132</x:v>
      </x:c>
      <x:c r="K534" s="58" t="n">
        <x:f>IF(H534="","",ABS(E534-H534))</x:f>
        <x:v>26.75</x:v>
      </x:c>
      <x:c r="L534" s="58" t="n">
        <x:f>IF(I534="","",ABS(E534-I534))</x:f>
        <x:v>148.875</x:v>
      </x:c>
      <x:c r="M534" s="23" t="str">
        <x:f>IF(B534&gt;44,"Validation","Training")</x:f>
        <x:v>Training</x:v>
      </x:c>
      <x:c r="N534" s="61" t="n">
        <x:f>IF(OR(H534="",E534=0),"",K534/E534)</x:f>
        <x:v>0.11192468619246862</x:v>
      </x:c>
    </x:row>
    <x:row r="535">
      <x:c r="A535" s="28" t="n">
        <x:v>40588</x:v>
      </x:c>
      <x:c r="B535" s="23" t="n">
        <x:v>11</x:v>
      </x:c>
      <x:c r="C535" s="23" t="str">
        <x:v>22197</x:v>
      </x:c>
      <x:c r="D535" s="23" t="str">
        <x:v>POPCORN HOLDER</x:v>
      </x:c>
      <x:c r="E535" s="34" t="n">
        <x:v>1040</x:v>
      </x:c>
      <x:c r="F535" s="55" t="n">
        <x:v>805.74</x:v>
      </x:c>
      <x:c r="G535" s="58" t="n">
        <x:f>E534</x:f>
        <x:v>239</x:v>
      </x:c>
      <x:c r="H535" s="58" t="n">
        <x:f>AVERAGE(E531:E534)</x:f>
        <x:v>239.5</x:v>
      </x:c>
      <x:c r="I535" s="58" t="n">
        <x:f>AVERAGE(E527:E534)</x:f>
        <x:v>295.125</x:v>
      </x:c>
      <x:c r="J535" s="58" t="n">
        <x:f>IF(G535="","",ABS(E535-G535))</x:f>
        <x:v>801</x:v>
      </x:c>
      <x:c r="K535" s="58" t="n">
        <x:f>IF(H535="","",ABS(E535-H535))</x:f>
        <x:v>800.5</x:v>
      </x:c>
      <x:c r="L535" s="58" t="n">
        <x:f>IF(I535="","",ABS(E535-I535))</x:f>
        <x:v>744.875</x:v>
      </x:c>
      <x:c r="M535" s="23" t="str">
        <x:f>IF(B535&gt;44,"Validation","Training")</x:f>
        <x:v>Training</x:v>
      </x:c>
      <x:c r="N535" s="61" t="n">
        <x:f>IF(OR(H535="",E535=0),"",K535/E535)</x:f>
        <x:v>0.7697115384615385</x:v>
      </x:c>
    </x:row>
    <x:row r="536">
      <x:c r="A536" s="28" t="n">
        <x:v>40595</x:v>
      </x:c>
      <x:c r="B536" s="23" t="n">
        <x:v>12</x:v>
      </x:c>
      <x:c r="C536" s="23" t="str">
        <x:v>22197</x:v>
      </x:c>
      <x:c r="D536" s="23" t="str">
        <x:v>POPCORN HOLDER</x:v>
      </x:c>
      <x:c r="E536" s="34" t="n">
        <x:v>1312</x:v>
      </x:c>
      <x:c r="F536" s="55" t="n">
        <x:v>1004.96</x:v>
      </x:c>
      <x:c r="G536" s="58" t="n">
        <x:f>E535</x:f>
        <x:v>1040</x:v>
      </x:c>
      <x:c r="H536" s="58" t="n">
        <x:f>AVERAGE(E532:E535)</x:f>
        <x:v>434.25</x:v>
      </x:c>
      <x:c r="I536" s="58" t="n">
        <x:f>AVERAGE(E528:E535)</x:f>
        <x:v>393.625</x:v>
      </x:c>
      <x:c r="J536" s="58" t="n">
        <x:f>IF(G536="","",ABS(E536-G536))</x:f>
        <x:v>272</x:v>
      </x:c>
      <x:c r="K536" s="58" t="n">
        <x:f>IF(H536="","",ABS(E536-H536))</x:f>
        <x:v>877.75</x:v>
      </x:c>
      <x:c r="L536" s="58" t="n">
        <x:f>IF(I536="","",ABS(E536-I536))</x:f>
        <x:v>918.375</x:v>
      </x:c>
      <x:c r="M536" s="23" t="str">
        <x:f>IF(B536&gt;44,"Validation","Training")</x:f>
        <x:v>Training</x:v>
      </x:c>
      <x:c r="N536" s="61" t="n">
        <x:f>IF(OR(H536="",E536=0),"",K536/E536)</x:f>
        <x:v>0.669016768292683</x:v>
      </x:c>
    </x:row>
    <x:row r="537">
      <x:c r="A537" s="28" t="n">
        <x:v>40602</x:v>
      </x:c>
      <x:c r="B537" s="23" t="n">
        <x:v>13</x:v>
      </x:c>
      <x:c r="C537" s="23" t="str">
        <x:v>22197</x:v>
      </x:c>
      <x:c r="D537" s="23" t="str">
        <x:v>POPCORN HOLDER</x:v>
      </x:c>
      <x:c r="E537" s="34" t="n">
        <x:v>370</x:v>
      </x:c>
      <x:c r="F537" s="55" t="n">
        <x:v>297.08</x:v>
      </x:c>
      <x:c r="G537" s="58" t="n">
        <x:f>E536</x:f>
        <x:v>1312</x:v>
      </x:c>
      <x:c r="H537" s="58" t="n">
        <x:f>AVERAGE(E533:E536)</x:f>
        <x:v>674.5</x:v>
      </x:c>
      <x:c r="I537" s="58" t="n">
        <x:f>AVERAGE(E529:E536)</x:f>
        <x:v>557.625</x:v>
      </x:c>
      <x:c r="J537" s="58" t="n">
        <x:f>IF(G537="","",ABS(E537-G537))</x:f>
        <x:v>942</x:v>
      </x:c>
      <x:c r="K537" s="58" t="n">
        <x:f>IF(H537="","",ABS(E537-H537))</x:f>
        <x:v>304.5</x:v>
      </x:c>
      <x:c r="L537" s="58" t="n">
        <x:f>IF(I537="","",ABS(E537-I537))</x:f>
        <x:v>187.625</x:v>
      </x:c>
      <x:c r="M537" s="23" t="str">
        <x:f>IF(B537&gt;44,"Validation","Training")</x:f>
        <x:v>Training</x:v>
      </x:c>
      <x:c r="N537" s="61" t="n">
        <x:f>IF(OR(H537="",E537=0),"",K537/E537)</x:f>
        <x:v>0.822972972972973</x:v>
      </x:c>
    </x:row>
    <x:row r="538">
      <x:c r="A538" s="28" t="n">
        <x:v>40609</x:v>
      </x:c>
      <x:c r="B538" s="23" t="n">
        <x:v>14</x:v>
      </x:c>
      <x:c r="C538" s="23" t="str">
        <x:v>22197</x:v>
      </x:c>
      <x:c r="D538" s="23" t="str">
        <x:v>POPCORN HOLDER</x:v>
      </x:c>
      <x:c r="E538" s="34" t="n">
        <x:v>779</x:v>
      </x:c>
      <x:c r="F538" s="55" t="n">
        <x:v>595.33</x:v>
      </x:c>
      <x:c r="G538" s="58" t="n">
        <x:f>E537</x:f>
        <x:v>370</x:v>
      </x:c>
      <x:c r="H538" s="58" t="n">
        <x:f>AVERAGE(E534:E537)</x:f>
        <x:v>740.25</x:v>
      </x:c>
      <x:c r="I538" s="58" t="n">
        <x:f>AVERAGE(E530:E537)</x:f>
        <x:v>503</x:v>
      </x:c>
      <x:c r="J538" s="58" t="n">
        <x:f>IF(G538="","",ABS(E538-G538))</x:f>
        <x:v>409</x:v>
      </x:c>
      <x:c r="K538" s="58" t="n">
        <x:f>IF(H538="","",ABS(E538-H538))</x:f>
        <x:v>38.75</x:v>
      </x:c>
      <x:c r="L538" s="58" t="n">
        <x:f>IF(I538="","",ABS(E538-I538))</x:f>
        <x:v>276</x:v>
      </x:c>
      <x:c r="M538" s="23" t="str">
        <x:f>IF(B538&gt;44,"Validation","Training")</x:f>
        <x:v>Training</x:v>
      </x:c>
      <x:c r="N538" s="61" t="n">
        <x:f>IF(OR(H538="",E538=0),"",K538/E538)</x:f>
        <x:v>0.04974326059050064</x:v>
      </x:c>
    </x:row>
    <x:row r="539">
      <x:c r="A539" s="28" t="n">
        <x:v>40616</x:v>
      </x:c>
      <x:c r="B539" s="23" t="n">
        <x:v>15</x:v>
      </x:c>
      <x:c r="C539" s="23" t="str">
        <x:v>22197</x:v>
      </x:c>
      <x:c r="D539" s="23" t="str">
        <x:v>POPCORN HOLDER</x:v>
      </x:c>
      <x:c r="E539" s="34" t="n">
        <x:v>583</x:v>
      </x:c>
      <x:c r="F539" s="55" t="n">
        <x:v>481.51</x:v>
      </x:c>
      <x:c r="G539" s="58" t="n">
        <x:f>E538</x:f>
        <x:v>779</x:v>
      </x:c>
      <x:c r="H539" s="58" t="n">
        <x:f>AVERAGE(E535:E538)</x:f>
        <x:v>875.25</x:v>
      </x:c>
      <x:c r="I539" s="58" t="n">
        <x:f>AVERAGE(E531:E538)</x:f>
        <x:v>557.375</x:v>
      </x:c>
      <x:c r="J539" s="58" t="n">
        <x:f>IF(G539="","",ABS(E539-G539))</x:f>
        <x:v>196</x:v>
      </x:c>
      <x:c r="K539" s="58" t="n">
        <x:f>IF(H539="","",ABS(E539-H539))</x:f>
        <x:v>292.25</x:v>
      </x:c>
      <x:c r="L539" s="58" t="n">
        <x:f>IF(I539="","",ABS(E539-I539))</x:f>
        <x:v>25.625</x:v>
      </x:c>
      <x:c r="M539" s="23" t="str">
        <x:f>IF(B539&gt;44,"Validation","Training")</x:f>
        <x:v>Training</x:v>
      </x:c>
      <x:c r="N539" s="61" t="n">
        <x:f>IF(OR(H539="",E539=0),"",K539/E539)</x:f>
        <x:v>0.5012864493996569</x:v>
      </x:c>
    </x:row>
    <x:row r="540">
      <x:c r="A540" s="28" t="n">
        <x:v>40623</x:v>
      </x:c>
      <x:c r="B540" s="23" t="n">
        <x:v>16</x:v>
      </x:c>
      <x:c r="C540" s="23" t="str">
        <x:v>22197</x:v>
      </x:c>
      <x:c r="D540" s="23" t="str">
        <x:v>POPCORN HOLDER</x:v>
      </x:c>
      <x:c r="E540" s="34" t="n">
        <x:v>237</x:v>
      </x:c>
      <x:c r="F540" s="55" t="n">
        <x:v>238.89</x:v>
      </x:c>
      <x:c r="G540" s="58" t="n">
        <x:f>E539</x:f>
        <x:v>583</x:v>
      </x:c>
      <x:c r="H540" s="58" t="n">
        <x:f>AVERAGE(E536:E539)</x:f>
        <x:v>761</x:v>
      </x:c>
      <x:c r="I540" s="58" t="n">
        <x:f>AVERAGE(E532:E539)</x:f>
        <x:v>597.625</x:v>
      </x:c>
      <x:c r="J540" s="58" t="n">
        <x:f>IF(G540="","",ABS(E540-G540))</x:f>
        <x:v>346</x:v>
      </x:c>
      <x:c r="K540" s="58" t="n">
        <x:f>IF(H540="","",ABS(E540-H540))</x:f>
        <x:v>524</x:v>
      </x:c>
      <x:c r="L540" s="58" t="n">
        <x:f>IF(I540="","",ABS(E540-I540))</x:f>
        <x:v>360.625</x:v>
      </x:c>
      <x:c r="M540" s="23" t="str">
        <x:f>IF(B540&gt;44,"Validation","Training")</x:f>
        <x:v>Training</x:v>
      </x:c>
      <x:c r="N540" s="61" t="n">
        <x:f>IF(OR(H540="",E540=0),"",K540/E540)</x:f>
        <x:v>2.210970464135021</x:v>
      </x:c>
    </x:row>
    <x:row r="541">
      <x:c r="A541" s="28" t="n">
        <x:v>40630</x:v>
      </x:c>
      <x:c r="B541" s="23" t="n">
        <x:v>17</x:v>
      </x:c>
      <x:c r="C541" s="23" t="str">
        <x:v>22197</x:v>
      </x:c>
      <x:c r="D541" s="23" t="str">
        <x:v>POPCORN HOLDER</x:v>
      </x:c>
      <x:c r="E541" s="34" t="n">
        <x:v>1042</x:v>
      </x:c>
      <x:c r="F541" s="55" t="n">
        <x:v>1587.7</x:v>
      </x:c>
      <x:c r="G541" s="58" t="n">
        <x:f>E540</x:f>
        <x:v>237</x:v>
      </x:c>
      <x:c r="H541" s="58" t="n">
        <x:f>AVERAGE(E537:E540)</x:f>
        <x:v>492.25</x:v>
      </x:c>
      <x:c r="I541" s="58" t="n">
        <x:f>AVERAGE(E533:E540)</x:f>
        <x:v>583.375</x:v>
      </x:c>
      <x:c r="J541" s="58" t="n">
        <x:f>IF(G541="","",ABS(E541-G541))</x:f>
        <x:v>805</x:v>
      </x:c>
      <x:c r="K541" s="58" t="n">
        <x:f>IF(H541="","",ABS(E541-H541))</x:f>
        <x:v>549.75</x:v>
      </x:c>
      <x:c r="L541" s="58" t="n">
        <x:f>IF(I541="","",ABS(E541-I541))</x:f>
        <x:v>458.625</x:v>
      </x:c>
      <x:c r="M541" s="23" t="str">
        <x:f>IF(B541&gt;44,"Validation","Training")</x:f>
        <x:v>Training</x:v>
      </x:c>
      <x:c r="N541" s="61" t="n">
        <x:f>IF(OR(H541="",E541=0),"",K541/E541)</x:f>
        <x:v>0.5275911708253359</x:v>
      </x:c>
    </x:row>
    <x:row r="542">
      <x:c r="A542" s="28" t="n">
        <x:v>40637</x:v>
      </x:c>
      <x:c r="B542" s="23" t="n">
        <x:v>18</x:v>
      </x:c>
      <x:c r="C542" s="23" t="str">
        <x:v>22197</x:v>
      </x:c>
      <x:c r="D542" s="23" t="str">
        <x:v>POPCORN HOLDER</x:v>
      </x:c>
      <x:c r="E542" s="34" t="n">
        <x:v>564</x:v>
      </x:c>
      <x:c r="F542" s="55" t="n">
        <x:v>448.2</x:v>
      </x:c>
      <x:c r="G542" s="58" t="n">
        <x:f>E541</x:f>
        <x:v>1042</x:v>
      </x:c>
      <x:c r="H542" s="58" t="n">
        <x:f>AVERAGE(E538:E541)</x:f>
        <x:v>660.25</x:v>
      </x:c>
      <x:c r="I542" s="58" t="n">
        <x:f>AVERAGE(E534:E541)</x:f>
        <x:v>700.25</x:v>
      </x:c>
      <x:c r="J542" s="58" t="n">
        <x:f>IF(G542="","",ABS(E542-G542))</x:f>
        <x:v>478</x:v>
      </x:c>
      <x:c r="K542" s="58" t="n">
        <x:f>IF(H542="","",ABS(E542-H542))</x:f>
        <x:v>96.25</x:v>
      </x:c>
      <x:c r="L542" s="58" t="n">
        <x:f>IF(I542="","",ABS(E542-I542))</x:f>
        <x:v>136.25</x:v>
      </x:c>
      <x:c r="M542" s="23" t="str">
        <x:f>IF(B542&gt;44,"Validation","Training")</x:f>
        <x:v>Training</x:v>
      </x:c>
      <x:c r="N542" s="61" t="n">
        <x:f>IF(OR(H542="",E542=0),"",K542/E542)</x:f>
        <x:v>0.17065602836879432</x:v>
      </x:c>
    </x:row>
    <x:row r="543">
      <x:c r="A543" s="28" t="n">
        <x:v>40644</x:v>
      </x:c>
      <x:c r="B543" s="23" t="n">
        <x:v>19</x:v>
      </x:c>
      <x:c r="C543" s="23" t="str">
        <x:v>22197</x:v>
      </x:c>
      <x:c r="D543" s="23" t="str">
        <x:v>POPCORN HOLDER</x:v>
      </x:c>
      <x:c r="E543" s="34" t="n">
        <x:v>784</x:v>
      </x:c>
      <x:c r="F543" s="55" t="n">
        <x:v>599.32</x:v>
      </x:c>
      <x:c r="G543" s="58" t="n">
        <x:f>E542</x:f>
        <x:v>564</x:v>
      </x:c>
      <x:c r="H543" s="58" t="n">
        <x:f>AVERAGE(E539:E542)</x:f>
        <x:v>606.5</x:v>
      </x:c>
      <x:c r="I543" s="58" t="n">
        <x:f>AVERAGE(E535:E542)</x:f>
        <x:v>740.875</x:v>
      </x:c>
      <x:c r="J543" s="58" t="n">
        <x:f>IF(G543="","",ABS(E543-G543))</x:f>
        <x:v>220</x:v>
      </x:c>
      <x:c r="K543" s="58" t="n">
        <x:f>IF(H543="","",ABS(E543-H543))</x:f>
        <x:v>177.5</x:v>
      </x:c>
      <x:c r="L543" s="58" t="n">
        <x:f>IF(I543="","",ABS(E543-I543))</x:f>
        <x:v>43.125</x:v>
      </x:c>
      <x:c r="M543" s="23" t="str">
        <x:f>IF(B543&gt;44,"Validation","Training")</x:f>
        <x:v>Training</x:v>
      </x:c>
      <x:c r="N543" s="61" t="n">
        <x:f>IF(OR(H543="",E543=0),"",K543/E543)</x:f>
        <x:v>0.2264030612244898</x:v>
      </x:c>
    </x:row>
    <x:row r="544">
      <x:c r="A544" s="28" t="n">
        <x:v>40651</x:v>
      </x:c>
      <x:c r="B544" s="23" t="n">
        <x:v>20</x:v>
      </x:c>
      <x:c r="C544" s="23" t="str">
        <x:v>22197</x:v>
      </x:c>
      <x:c r="D544" s="23" t="str">
        <x:v>POPCORN HOLDER</x:v>
      </x:c>
      <x:c r="E544" s="34" t="n">
        <x:v>232</x:v>
      </x:c>
      <x:c r="F544" s="55" t="n">
        <x:v>210.72</x:v>
      </x:c>
      <x:c r="G544" s="58" t="n">
        <x:f>E543</x:f>
        <x:v>784</x:v>
      </x:c>
      <x:c r="H544" s="58" t="n">
        <x:f>AVERAGE(E540:E543)</x:f>
        <x:v>656.75</x:v>
      </x:c>
      <x:c r="I544" s="58" t="n">
        <x:f>AVERAGE(E536:E543)</x:f>
        <x:v>708.875</x:v>
      </x:c>
      <x:c r="J544" s="58" t="n">
        <x:f>IF(G544="","",ABS(E544-G544))</x:f>
        <x:v>552</x:v>
      </x:c>
      <x:c r="K544" s="58" t="n">
        <x:f>IF(H544="","",ABS(E544-H544))</x:f>
        <x:v>424.75</x:v>
      </x:c>
      <x:c r="L544" s="58" t="n">
        <x:f>IF(I544="","",ABS(E544-I544))</x:f>
        <x:v>476.875</x:v>
      </x:c>
      <x:c r="M544" s="23" t="str">
        <x:f>IF(B544&gt;44,"Validation","Training")</x:f>
        <x:v>Training</x:v>
      </x:c>
      <x:c r="N544" s="61" t="n">
        <x:f>IF(OR(H544="",E544=0),"",K544/E544)</x:f>
        <x:v>1.8308189655172413</x:v>
      </x:c>
    </x:row>
    <x:row r="545">
      <x:c r="A545" s="28" t="n">
        <x:v>40658</x:v>
      </x:c>
      <x:c r="B545" s="23" t="n">
        <x:v>21</x:v>
      </x:c>
      <x:c r="C545" s="23" t="str">
        <x:v>22197</x:v>
      </x:c>
      <x:c r="D545" s="23" t="str">
        <x:v>POPCORN HOLDER</x:v>
      </x:c>
      <x:c r="E545" s="34" t="n">
        <x:v>310</x:v>
      </x:c>
      <x:c r="F545" s="55" t="n">
        <x:v>242.18</x:v>
      </x:c>
      <x:c r="G545" s="58" t="n">
        <x:f>E544</x:f>
        <x:v>232</x:v>
      </x:c>
      <x:c r="H545" s="58" t="n">
        <x:f>AVERAGE(E541:E544)</x:f>
        <x:v>655.5</x:v>
      </x:c>
      <x:c r="I545" s="58" t="n">
        <x:f>AVERAGE(E537:E544)</x:f>
        <x:v>573.875</x:v>
      </x:c>
      <x:c r="J545" s="58" t="n">
        <x:f>IF(G545="","",ABS(E545-G545))</x:f>
        <x:v>78</x:v>
      </x:c>
      <x:c r="K545" s="58" t="n">
        <x:f>IF(H545="","",ABS(E545-H545))</x:f>
        <x:v>345.5</x:v>
      </x:c>
      <x:c r="L545" s="58" t="n">
        <x:f>IF(I545="","",ABS(E545-I545))</x:f>
        <x:v>263.875</x:v>
      </x:c>
      <x:c r="M545" s="23" t="str">
        <x:f>IF(B545&gt;44,"Validation","Training")</x:f>
        <x:v>Training</x:v>
      </x:c>
      <x:c r="N545" s="61" t="n">
        <x:f>IF(OR(H545="",E545=0),"",K545/E545)</x:f>
        <x:v>1.114516129032258</x:v>
      </x:c>
    </x:row>
    <x:row r="546">
      <x:c r="A546" s="28" t="n">
        <x:v>40665</x:v>
      </x:c>
      <x:c r="B546" s="23" t="n">
        <x:v>22</x:v>
      </x:c>
      <x:c r="C546" s="23" t="str">
        <x:v>22197</x:v>
      </x:c>
      <x:c r="D546" s="23" t="str">
        <x:v>POPCORN HOLDER</x:v>
      </x:c>
      <x:c r="E546" s="34" t="n">
        <x:v>372</x:v>
      </x:c>
      <x:c r="F546" s="55" t="n">
        <x:v>299.56</x:v>
      </x:c>
      <x:c r="G546" s="58" t="n">
        <x:f>E545</x:f>
        <x:v>310</x:v>
      </x:c>
      <x:c r="H546" s="58" t="n">
        <x:f>AVERAGE(E542:E545)</x:f>
        <x:v>472.5</x:v>
      </x:c>
      <x:c r="I546" s="58" t="n">
        <x:f>AVERAGE(E538:E545)</x:f>
        <x:v>566.375</x:v>
      </x:c>
      <x:c r="J546" s="58" t="n">
        <x:f>IF(G546="","",ABS(E546-G546))</x:f>
        <x:v>62</x:v>
      </x:c>
      <x:c r="K546" s="58" t="n">
        <x:f>IF(H546="","",ABS(E546-H546))</x:f>
        <x:v>100.5</x:v>
      </x:c>
      <x:c r="L546" s="58" t="n">
        <x:f>IF(I546="","",ABS(E546-I546))</x:f>
        <x:v>194.375</x:v>
      </x:c>
      <x:c r="M546" s="23" t="str">
        <x:f>IF(B546&gt;44,"Validation","Training")</x:f>
        <x:v>Training</x:v>
      </x:c>
      <x:c r="N546" s="61" t="n">
        <x:f>IF(OR(H546="",E546=0),"",K546/E546)</x:f>
        <x:v>0.2701612903225806</x:v>
      </x:c>
    </x:row>
    <x:row r="547">
      <x:c r="A547" s="28" t="n">
        <x:v>40672</x:v>
      </x:c>
      <x:c r="B547" s="23" t="n">
        <x:v>23</x:v>
      </x:c>
      <x:c r="C547" s="23" t="str">
        <x:v>22197</x:v>
      </x:c>
      <x:c r="D547" s="23" t="str">
        <x:v>POPCORN HOLDER</x:v>
      </x:c>
      <x:c r="E547" s="34" t="n">
        <x:v>381</x:v>
      </x:c>
      <x:c r="F547" s="55" t="n">
        <x:v>345.95</x:v>
      </x:c>
      <x:c r="G547" s="58" t="n">
        <x:f>E546</x:f>
        <x:v>372</x:v>
      </x:c>
      <x:c r="H547" s="58" t="n">
        <x:f>AVERAGE(E543:E546)</x:f>
        <x:v>424.5</x:v>
      </x:c>
      <x:c r="I547" s="58" t="n">
        <x:f>AVERAGE(E539:E546)</x:f>
        <x:v>515.5</x:v>
      </x:c>
      <x:c r="J547" s="58" t="n">
        <x:f>IF(G547="","",ABS(E547-G547))</x:f>
        <x:v>9</x:v>
      </x:c>
      <x:c r="K547" s="58" t="n">
        <x:f>IF(H547="","",ABS(E547-H547))</x:f>
        <x:v>43.5</x:v>
      </x:c>
      <x:c r="L547" s="58" t="n">
        <x:f>IF(I547="","",ABS(E547-I547))</x:f>
        <x:v>134.5</x:v>
      </x:c>
      <x:c r="M547" s="23" t="str">
        <x:f>IF(B547&gt;44,"Validation","Training")</x:f>
        <x:v>Training</x:v>
      </x:c>
      <x:c r="N547" s="61" t="n">
        <x:f>IF(OR(H547="",E547=0),"",K547/E547)</x:f>
        <x:v>0.1141732283464567</x:v>
      </x:c>
    </x:row>
    <x:row r="548">
      <x:c r="A548" s="28" t="n">
        <x:v>40679</x:v>
      </x:c>
      <x:c r="B548" s="23" t="n">
        <x:v>24</x:v>
      </x:c>
      <x:c r="C548" s="23" t="str">
        <x:v>22197</x:v>
      </x:c>
      <x:c r="D548" s="23" t="str">
        <x:v>POPCORN HOLDER</x:v>
      </x:c>
      <x:c r="E548" s="34" t="n">
        <x:v>1300</x:v>
      </x:c>
      <x:c r="F548" s="55" t="n">
        <x:v>1002.04</x:v>
      </x:c>
      <x:c r="G548" s="58" t="n">
        <x:f>E547</x:f>
        <x:v>381</x:v>
      </x:c>
      <x:c r="H548" s="58" t="n">
        <x:f>AVERAGE(E544:E547)</x:f>
        <x:v>323.75</x:v>
      </x:c>
      <x:c r="I548" s="58" t="n">
        <x:f>AVERAGE(E540:E547)</x:f>
        <x:v>490.25</x:v>
      </x:c>
      <x:c r="J548" s="58" t="n">
        <x:f>IF(G548="","",ABS(E548-G548))</x:f>
        <x:v>919</x:v>
      </x:c>
      <x:c r="K548" s="58" t="n">
        <x:f>IF(H548="","",ABS(E548-H548))</x:f>
        <x:v>976.25</x:v>
      </x:c>
      <x:c r="L548" s="58" t="n">
        <x:f>IF(I548="","",ABS(E548-I548))</x:f>
        <x:v>809.75</x:v>
      </x:c>
      <x:c r="M548" s="23" t="str">
        <x:f>IF(B548&gt;44,"Validation","Training")</x:f>
        <x:v>Training</x:v>
      </x:c>
      <x:c r="N548" s="61" t="n">
        <x:f>IF(OR(H548="",E548=0),"",K548/E548)</x:f>
        <x:v>0.7509615384615385</x:v>
      </x:c>
    </x:row>
    <x:row r="549">
      <x:c r="A549" s="28" t="n">
        <x:v>40686</x:v>
      </x:c>
      <x:c r="B549" s="23" t="n">
        <x:v>25</x:v>
      </x:c>
      <x:c r="C549" s="23" t="str">
        <x:v>22197</x:v>
      </x:c>
      <x:c r="D549" s="23" t="str">
        <x:v>POPCORN HOLDER</x:v>
      </x:c>
      <x:c r="E549" s="34" t="n">
        <x:v>4562</x:v>
      </x:c>
      <x:c r="F549" s="55" t="n">
        <x:v>3331.18</x:v>
      </x:c>
      <x:c r="G549" s="58" t="n">
        <x:f>E548</x:f>
        <x:v>1300</x:v>
      </x:c>
      <x:c r="H549" s="58" t="n">
        <x:f>AVERAGE(E545:E548)</x:f>
        <x:v>590.75</x:v>
      </x:c>
      <x:c r="I549" s="58" t="n">
        <x:f>AVERAGE(E541:E548)</x:f>
        <x:v>623.125</x:v>
      </x:c>
      <x:c r="J549" s="58" t="n">
        <x:f>IF(G549="","",ABS(E549-G549))</x:f>
        <x:v>3262</x:v>
      </x:c>
      <x:c r="K549" s="58" t="n">
        <x:f>IF(H549="","",ABS(E549-H549))</x:f>
        <x:v>3971.25</x:v>
      </x:c>
      <x:c r="L549" s="58" t="n">
        <x:f>IF(I549="","",ABS(E549-I549))</x:f>
        <x:v>3938.875</x:v>
      </x:c>
      <x:c r="M549" s="23" t="str">
        <x:f>IF(B549&gt;44,"Validation","Training")</x:f>
        <x:v>Training</x:v>
      </x:c>
      <x:c r="N549" s="61" t="n">
        <x:f>IF(OR(H549="",E549=0),"",K549/E549)</x:f>
        <x:v>0.8705063568610258</x:v>
      </x:c>
    </x:row>
    <x:row r="550">
      <x:c r="A550" s="28" t="n">
        <x:v>40693</x:v>
      </x:c>
      <x:c r="B550" s="23" t="n">
        <x:v>26</x:v>
      </x:c>
      <x:c r="C550" s="23" t="str">
        <x:v>22197</x:v>
      </x:c>
      <x:c r="D550" s="23" t="str">
        <x:v>POPCORN HOLDER</x:v>
      </x:c>
      <x:c r="E550" s="34" t="n">
        <x:v>533</x:v>
      </x:c>
      <x:c r="F550" s="55" t="n">
        <x:v>422.63</x:v>
      </x:c>
      <x:c r="G550" s="58" t="n">
        <x:f>E549</x:f>
        <x:v>4562</x:v>
      </x:c>
      <x:c r="H550" s="58" t="n">
        <x:f>AVERAGE(E546:E549)</x:f>
        <x:v>1653.75</x:v>
      </x:c>
      <x:c r="I550" s="58" t="n">
        <x:f>AVERAGE(E542:E549)</x:f>
        <x:v>1063.125</x:v>
      </x:c>
      <x:c r="J550" s="58" t="n">
        <x:f>IF(G550="","",ABS(E550-G550))</x:f>
        <x:v>4029</x:v>
      </x:c>
      <x:c r="K550" s="58" t="n">
        <x:f>IF(H550="","",ABS(E550-H550))</x:f>
        <x:v>1120.75</x:v>
      </x:c>
      <x:c r="L550" s="58" t="n">
        <x:f>IF(I550="","",ABS(E550-I550))</x:f>
        <x:v>530.125</x:v>
      </x:c>
      <x:c r="M550" s="23" t="str">
        <x:f>IF(B550&gt;44,"Validation","Training")</x:f>
        <x:v>Training</x:v>
      </x:c>
      <x:c r="N550" s="61" t="n">
        <x:f>IF(OR(H550="",E550=0),"",K550/E550)</x:f>
        <x:v>2.102720450281426</x:v>
      </x:c>
    </x:row>
    <x:row r="551">
      <x:c r="A551" s="28" t="n">
        <x:v>40700</x:v>
      </x:c>
      <x:c r="B551" s="23" t="n">
        <x:v>27</x:v>
      </x:c>
      <x:c r="C551" s="23" t="str">
        <x:v>22197</x:v>
      </x:c>
      <x:c r="D551" s="23" t="str">
        <x:v>POPCORN HOLDER</x:v>
      </x:c>
      <x:c r="E551" s="34" t="n">
        <x:v>410</x:v>
      </x:c>
      <x:c r="F551" s="55" t="n">
        <x:v>334.98</x:v>
      </x:c>
      <x:c r="G551" s="58" t="n">
        <x:f>E550</x:f>
        <x:v>533</x:v>
      </x:c>
      <x:c r="H551" s="58" t="n">
        <x:f>AVERAGE(E547:E550)</x:f>
        <x:v>1694</x:v>
      </x:c>
      <x:c r="I551" s="58" t="n">
        <x:f>AVERAGE(E543:E550)</x:f>
        <x:v>1059.25</x:v>
      </x:c>
      <x:c r="J551" s="58" t="n">
        <x:f>IF(G551="","",ABS(E551-G551))</x:f>
        <x:v>123</x:v>
      </x:c>
      <x:c r="K551" s="58" t="n">
        <x:f>IF(H551="","",ABS(E551-H551))</x:f>
        <x:v>1284</x:v>
      </x:c>
      <x:c r="L551" s="58" t="n">
        <x:f>IF(I551="","",ABS(E551-I551))</x:f>
        <x:v>649.25</x:v>
      </x:c>
      <x:c r="M551" s="23" t="str">
        <x:f>IF(B551&gt;44,"Validation","Training")</x:f>
        <x:v>Training</x:v>
      </x:c>
      <x:c r="N551" s="61" t="n">
        <x:f>IF(OR(H551="",E551=0),"",K551/E551)</x:f>
        <x:v>3.131707317073171</x:v>
      </x:c>
    </x:row>
    <x:row r="552">
      <x:c r="A552" s="28" t="n">
        <x:v>40707</x:v>
      </x:c>
      <x:c r="B552" s="23" t="n">
        <x:v>28</x:v>
      </x:c>
      <x:c r="C552" s="23" t="str">
        <x:v>22197</x:v>
      </x:c>
      <x:c r="D552" s="23" t="str">
        <x:v>POPCORN HOLDER</x:v>
      </x:c>
      <x:c r="E552" s="34" t="n">
        <x:v>437</x:v>
      </x:c>
      <x:c r="F552" s="55" t="n">
        <x:v>354.81</x:v>
      </x:c>
      <x:c r="G552" s="58" t="n">
        <x:f>E551</x:f>
        <x:v>410</x:v>
      </x:c>
      <x:c r="H552" s="58" t="n">
        <x:f>AVERAGE(E548:E551)</x:f>
        <x:v>1701.25</x:v>
      </x:c>
      <x:c r="I552" s="58" t="n">
        <x:f>AVERAGE(E544:E551)</x:f>
        <x:v>1012.5</x:v>
      </x:c>
      <x:c r="J552" s="58" t="n">
        <x:f>IF(G552="","",ABS(E552-G552))</x:f>
        <x:v>27</x:v>
      </x:c>
      <x:c r="K552" s="58" t="n">
        <x:f>IF(H552="","",ABS(E552-H552))</x:f>
        <x:v>1264.25</x:v>
      </x:c>
      <x:c r="L552" s="58" t="n">
        <x:f>IF(I552="","",ABS(E552-I552))</x:f>
        <x:v>575.5</x:v>
      </x:c>
      <x:c r="M552" s="23" t="str">
        <x:f>IF(B552&gt;44,"Validation","Training")</x:f>
        <x:v>Training</x:v>
      </x:c>
      <x:c r="N552" s="61" t="n">
        <x:f>IF(OR(H552="",E552=0),"",K552/E552)</x:f>
        <x:v>2.893020594965675</x:v>
      </x:c>
    </x:row>
    <x:row r="553">
      <x:c r="A553" s="28" t="n">
        <x:v>40714</x:v>
      </x:c>
      <x:c r="B553" s="23" t="n">
        <x:v>29</x:v>
      </x:c>
      <x:c r="C553" s="23" t="str">
        <x:v>22197</x:v>
      </x:c>
      <x:c r="D553" s="23" t="str">
        <x:v>POPCORN HOLDER</x:v>
      </x:c>
      <x:c r="E553" s="34" t="n">
        <x:v>345</x:v>
      </x:c>
      <x:c r="F553" s="55" t="n">
        <x:v>294.29</x:v>
      </x:c>
      <x:c r="G553" s="58" t="n">
        <x:f>E552</x:f>
        <x:v>437</x:v>
      </x:c>
      <x:c r="H553" s="58" t="n">
        <x:f>AVERAGE(E549:E552)</x:f>
        <x:v>1485.5</x:v>
      </x:c>
      <x:c r="I553" s="58" t="n">
        <x:f>AVERAGE(E545:E552)</x:f>
        <x:v>1038.125</x:v>
      </x:c>
      <x:c r="J553" s="58" t="n">
        <x:f>IF(G553="","",ABS(E553-G553))</x:f>
        <x:v>92</x:v>
      </x:c>
      <x:c r="K553" s="58" t="n">
        <x:f>IF(H553="","",ABS(E553-H553))</x:f>
        <x:v>1140.5</x:v>
      </x:c>
      <x:c r="L553" s="58" t="n">
        <x:f>IF(I553="","",ABS(E553-I553))</x:f>
        <x:v>693.125</x:v>
      </x:c>
      <x:c r="M553" s="23" t="str">
        <x:f>IF(B553&gt;44,"Validation","Training")</x:f>
        <x:v>Training</x:v>
      </x:c>
      <x:c r="N553" s="61" t="n">
        <x:f>IF(OR(H553="",E553=0),"",K553/E553)</x:f>
        <x:v>3.3057971014492753</x:v>
      </x:c>
    </x:row>
    <x:row r="554">
      <x:c r="A554" s="28" t="n">
        <x:v>40721</x:v>
      </x:c>
      <x:c r="B554" s="23" t="n">
        <x:v>30</x:v>
      </x:c>
      <x:c r="C554" s="23" t="str">
        <x:v>22197</x:v>
      </x:c>
      <x:c r="D554" s="23" t="str">
        <x:v>POPCORN HOLDER</x:v>
      </x:c>
      <x:c r="E554" s="34" t="n">
        <x:v>430</x:v>
      </x:c>
      <x:c r="F554" s="55" t="n">
        <x:v>351.2</x:v>
      </x:c>
      <x:c r="G554" s="58" t="n">
        <x:f>E553</x:f>
        <x:v>345</x:v>
      </x:c>
      <x:c r="H554" s="58" t="n">
        <x:f>AVERAGE(E550:E553)</x:f>
        <x:v>431.25</x:v>
      </x:c>
      <x:c r="I554" s="58" t="n">
        <x:f>AVERAGE(E546:E553)</x:f>
        <x:v>1042.5</x:v>
      </x:c>
      <x:c r="J554" s="58" t="n">
        <x:f>IF(G554="","",ABS(E554-G554))</x:f>
        <x:v>85</x:v>
      </x:c>
      <x:c r="K554" s="58" t="n">
        <x:f>IF(H554="","",ABS(E554-H554))</x:f>
        <x:v>1.25</x:v>
      </x:c>
      <x:c r="L554" s="58" t="n">
        <x:f>IF(I554="","",ABS(E554-I554))</x:f>
        <x:v>612.5</x:v>
      </x:c>
      <x:c r="M554" s="23" t="str">
        <x:f>IF(B554&gt;44,"Validation","Training")</x:f>
        <x:v>Training</x:v>
      </x:c>
      <x:c r="N554" s="61" t="n">
        <x:f>IF(OR(H554="",E554=0),"",K554/E554)</x:f>
        <x:v>0.0029069767441860465</x:v>
      </x:c>
    </x:row>
    <x:row r="555">
      <x:c r="A555" s="28" t="n">
        <x:v>40728</x:v>
      </x:c>
      <x:c r="B555" s="23" t="n">
        <x:v>31</x:v>
      </x:c>
      <x:c r="C555" s="23" t="str">
        <x:v>22197</x:v>
      </x:c>
      <x:c r="D555" s="23" t="str">
        <x:v>POPCORN HOLDER</x:v>
      </x:c>
      <x:c r="E555" s="34" t="n">
        <x:v>636</x:v>
      </x:c>
      <x:c r="F555" s="55" t="n">
        <x:v>525.26</x:v>
      </x:c>
      <x:c r="G555" s="58" t="n">
        <x:f>E554</x:f>
        <x:v>430</x:v>
      </x:c>
      <x:c r="H555" s="58" t="n">
        <x:f>AVERAGE(E551:E554)</x:f>
        <x:v>405.5</x:v>
      </x:c>
      <x:c r="I555" s="58" t="n">
        <x:f>AVERAGE(E547:E554)</x:f>
        <x:v>1049.75</x:v>
      </x:c>
      <x:c r="J555" s="58" t="n">
        <x:f>IF(G555="","",ABS(E555-G555))</x:f>
        <x:v>206</x:v>
      </x:c>
      <x:c r="K555" s="58" t="n">
        <x:f>IF(H555="","",ABS(E555-H555))</x:f>
        <x:v>230.5</x:v>
      </x:c>
      <x:c r="L555" s="58" t="n">
        <x:f>IF(I555="","",ABS(E555-I555))</x:f>
        <x:v>413.75</x:v>
      </x:c>
      <x:c r="M555" s="23" t="str">
        <x:f>IF(B555&gt;44,"Validation","Training")</x:f>
        <x:v>Training</x:v>
      </x:c>
      <x:c r="N555" s="61" t="n">
        <x:f>IF(OR(H555="",E555=0),"",K555/E555)</x:f>
        <x:v>0.36242138364779874</x:v>
      </x:c>
    </x:row>
    <x:row r="556">
      <x:c r="A556" s="28" t="n">
        <x:v>40735</x:v>
      </x:c>
      <x:c r="B556" s="23" t="n">
        <x:v>32</x:v>
      </x:c>
      <x:c r="C556" s="23" t="str">
        <x:v>22197</x:v>
      </x:c>
      <x:c r="D556" s="23" t="str">
        <x:v>POPCORN HOLDER</x:v>
      </x:c>
      <x:c r="E556" s="34" t="n">
        <x:v>157</x:v>
      </x:c>
      <x:c r="F556" s="55" t="n">
        <x:v>147.49</x:v>
      </x:c>
      <x:c r="G556" s="58" t="n">
        <x:f>E555</x:f>
        <x:v>636</x:v>
      </x:c>
      <x:c r="H556" s="58" t="n">
        <x:f>AVERAGE(E552:E555)</x:f>
        <x:v>462</x:v>
      </x:c>
      <x:c r="I556" s="58" t="n">
        <x:f>AVERAGE(E548:E555)</x:f>
        <x:v>1081.625</x:v>
      </x:c>
      <x:c r="J556" s="58" t="n">
        <x:f>IF(G556="","",ABS(E556-G556))</x:f>
        <x:v>479</x:v>
      </x:c>
      <x:c r="K556" s="58" t="n">
        <x:f>IF(H556="","",ABS(E556-H556))</x:f>
        <x:v>305</x:v>
      </x:c>
      <x:c r="L556" s="58" t="n">
        <x:f>IF(I556="","",ABS(E556-I556))</x:f>
        <x:v>924.625</x:v>
      </x:c>
      <x:c r="M556" s="23" t="str">
        <x:f>IF(B556&gt;44,"Validation","Training")</x:f>
        <x:v>Training</x:v>
      </x:c>
      <x:c r="N556" s="61" t="n">
        <x:f>IF(OR(H556="",E556=0),"",K556/E556)</x:f>
        <x:v>1.9426751592356688</x:v>
      </x:c>
    </x:row>
    <x:row r="557">
      <x:c r="A557" s="28" t="n">
        <x:v>40742</x:v>
      </x:c>
      <x:c r="B557" s="23" t="n">
        <x:v>33</x:v>
      </x:c>
      <x:c r="C557" s="23" t="str">
        <x:v>22197</x:v>
      </x:c>
      <x:c r="D557" s="23" t="str">
        <x:v>POPCORN HOLDER</x:v>
      </x:c>
      <x:c r="E557" s="34" t="n">
        <x:v>621</x:v>
      </x:c>
      <x:c r="F557" s="55" t="n">
        <x:v>494.31</x:v>
      </x:c>
      <x:c r="G557" s="58" t="n">
        <x:f>E556</x:f>
        <x:v>157</x:v>
      </x:c>
      <x:c r="H557" s="58" t="n">
        <x:f>AVERAGE(E553:E556)</x:f>
        <x:v>392</x:v>
      </x:c>
      <x:c r="I557" s="58" t="n">
        <x:f>AVERAGE(E549:E556)</x:f>
        <x:v>938.75</x:v>
      </x:c>
      <x:c r="J557" s="58" t="n">
        <x:f>IF(G557="","",ABS(E557-G557))</x:f>
        <x:v>464</x:v>
      </x:c>
      <x:c r="K557" s="58" t="n">
        <x:f>IF(H557="","",ABS(E557-H557))</x:f>
        <x:v>229</x:v>
      </x:c>
      <x:c r="L557" s="58" t="n">
        <x:f>IF(I557="","",ABS(E557-I557))</x:f>
        <x:v>317.75</x:v>
      </x:c>
      <x:c r="M557" s="23" t="str">
        <x:f>IF(B557&gt;44,"Validation","Training")</x:f>
        <x:v>Training</x:v>
      </x:c>
      <x:c r="N557" s="61" t="n">
        <x:f>IF(OR(H557="",E557=0),"",K557/E557)</x:f>
        <x:v>0.3687600644122383</x:v>
      </x:c>
    </x:row>
    <x:row r="558">
      <x:c r="A558" s="28" t="n">
        <x:v>40749</x:v>
      </x:c>
      <x:c r="B558" s="23" t="n">
        <x:v>34</x:v>
      </x:c>
      <x:c r="C558" s="23" t="str">
        <x:v>22197</x:v>
      </x:c>
      <x:c r="D558" s="23" t="str">
        <x:v>POPCORN HOLDER</x:v>
      </x:c>
      <x:c r="E558" s="34" t="n">
        <x:v>436</x:v>
      </x:c>
      <x:c r="F558" s="55" t="n">
        <x:v>350.84</x:v>
      </x:c>
      <x:c r="G558" s="58" t="n">
        <x:f>E557</x:f>
        <x:v>621</x:v>
      </x:c>
      <x:c r="H558" s="58" t="n">
        <x:f>AVERAGE(E554:E557)</x:f>
        <x:v>461</x:v>
      </x:c>
      <x:c r="I558" s="58" t="n">
        <x:f>AVERAGE(E550:E557)</x:f>
        <x:v>446.125</x:v>
      </x:c>
      <x:c r="J558" s="58" t="n">
        <x:f>IF(G558="","",ABS(E558-G558))</x:f>
        <x:v>185</x:v>
      </x:c>
      <x:c r="K558" s="58" t="n">
        <x:f>IF(H558="","",ABS(E558-H558))</x:f>
        <x:v>25</x:v>
      </x:c>
      <x:c r="L558" s="58" t="n">
        <x:f>IF(I558="","",ABS(E558-I558))</x:f>
        <x:v>10.125</x:v>
      </x:c>
      <x:c r="M558" s="23" t="str">
        <x:f>IF(B558&gt;44,"Validation","Training")</x:f>
        <x:v>Training</x:v>
      </x:c>
      <x:c r="N558" s="61" t="n">
        <x:f>IF(OR(H558="",E558=0),"",K558/E558)</x:f>
        <x:v>0.05733944954128441</x:v>
      </x:c>
    </x:row>
    <x:row r="559">
      <x:c r="A559" s="28" t="n">
        <x:v>40756</x:v>
      </x:c>
      <x:c r="B559" s="23" t="n">
        <x:v>35</x:v>
      </x:c>
      <x:c r="C559" s="23" t="str">
        <x:v>22197</x:v>
      </x:c>
      <x:c r="D559" s="23" t="str">
        <x:v>POPCORN HOLDER</x:v>
      </x:c>
      <x:c r="E559" s="34" t="n">
        <x:v>2178</x:v>
      </x:c>
      <x:c r="F559" s="55" t="n">
        <x:v>1603.78</x:v>
      </x:c>
      <x:c r="G559" s="58" t="n">
        <x:f>E558</x:f>
        <x:v>436</x:v>
      </x:c>
      <x:c r="H559" s="58" t="n">
        <x:f>AVERAGE(E555:E558)</x:f>
        <x:v>462.5</x:v>
      </x:c>
      <x:c r="I559" s="58" t="n">
        <x:f>AVERAGE(E551:E558)</x:f>
        <x:v>434</x:v>
      </x:c>
      <x:c r="J559" s="58" t="n">
        <x:f>IF(G559="","",ABS(E559-G559))</x:f>
        <x:v>1742</x:v>
      </x:c>
      <x:c r="K559" s="58" t="n">
        <x:f>IF(H559="","",ABS(E559-H559))</x:f>
        <x:v>1715.5</x:v>
      </x:c>
      <x:c r="L559" s="58" t="n">
        <x:f>IF(I559="","",ABS(E559-I559))</x:f>
        <x:v>1744</x:v>
      </x:c>
      <x:c r="M559" s="23" t="str">
        <x:f>IF(B559&gt;44,"Validation","Training")</x:f>
        <x:v>Training</x:v>
      </x:c>
      <x:c r="N559" s="61" t="n">
        <x:f>IF(OR(H559="",E559=0),"",K559/E559)</x:f>
        <x:v>0.7876492194674013</x:v>
      </x:c>
    </x:row>
    <x:row r="560">
      <x:c r="A560" s="28" t="n">
        <x:v>40763</x:v>
      </x:c>
      <x:c r="B560" s="23" t="n">
        <x:v>36</x:v>
      </x:c>
      <x:c r="C560" s="23" t="str">
        <x:v>22197</x:v>
      </x:c>
      <x:c r="D560" s="23" t="str">
        <x:v>POPCORN HOLDER</x:v>
      </x:c>
      <x:c r="E560" s="34" t="n">
        <x:v>1735</x:v>
      </x:c>
      <x:c r="F560" s="55" t="n">
        <x:v>1307.83</x:v>
      </x:c>
      <x:c r="G560" s="58" t="n">
        <x:f>E559</x:f>
        <x:v>2178</x:v>
      </x:c>
      <x:c r="H560" s="58" t="n">
        <x:f>AVERAGE(E556:E559)</x:f>
        <x:v>848</x:v>
      </x:c>
      <x:c r="I560" s="58" t="n">
        <x:f>AVERAGE(E552:E559)</x:f>
        <x:v>655</x:v>
      </x:c>
      <x:c r="J560" s="58" t="n">
        <x:f>IF(G560="","",ABS(E560-G560))</x:f>
        <x:v>443</x:v>
      </x:c>
      <x:c r="K560" s="58" t="n">
        <x:f>IF(H560="","",ABS(E560-H560))</x:f>
        <x:v>887</x:v>
      </x:c>
      <x:c r="L560" s="58" t="n">
        <x:f>IF(I560="","",ABS(E560-I560))</x:f>
        <x:v>1080</x:v>
      </x:c>
      <x:c r="M560" s="23" t="str">
        <x:f>IF(B560&gt;44,"Validation","Training")</x:f>
        <x:v>Training</x:v>
      </x:c>
      <x:c r="N560" s="61" t="n">
        <x:f>IF(OR(H560="",E560=0),"",K560/E560)</x:f>
        <x:v>0.5112391930835735</x:v>
      </x:c>
    </x:row>
    <x:row r="561">
      <x:c r="A561" s="28" t="n">
        <x:v>40770</x:v>
      </x:c>
      <x:c r="B561" s="23" t="n">
        <x:v>37</x:v>
      </x:c>
      <x:c r="C561" s="23" t="str">
        <x:v>22197</x:v>
      </x:c>
      <x:c r="D561" s="23" t="str">
        <x:v>POPCORN HOLDER</x:v>
      </x:c>
      <x:c r="E561" s="34" t="n">
        <x:v>518</x:v>
      </x:c>
      <x:c r="F561" s="55" t="n">
        <x:v>421.32</x:v>
      </x:c>
      <x:c r="G561" s="58" t="n">
        <x:f>E560</x:f>
        <x:v>1735</x:v>
      </x:c>
      <x:c r="H561" s="58" t="n">
        <x:f>AVERAGE(E557:E560)</x:f>
        <x:v>1242.5</x:v>
      </x:c>
      <x:c r="I561" s="58" t="n">
        <x:f>AVERAGE(E553:E560)</x:f>
        <x:v>817.25</x:v>
      </x:c>
      <x:c r="J561" s="58" t="n">
        <x:f>IF(G561="","",ABS(E561-G561))</x:f>
        <x:v>1217</x:v>
      </x:c>
      <x:c r="K561" s="58" t="n">
        <x:f>IF(H561="","",ABS(E561-H561))</x:f>
        <x:v>724.5</x:v>
      </x:c>
      <x:c r="L561" s="58" t="n">
        <x:f>IF(I561="","",ABS(E561-I561))</x:f>
        <x:v>299.25</x:v>
      </x:c>
      <x:c r="M561" s="23" t="str">
        <x:f>IF(B561&gt;44,"Validation","Training")</x:f>
        <x:v>Training</x:v>
      </x:c>
      <x:c r="N561" s="61" t="n">
        <x:f>IF(OR(H561="",E561=0),"",K561/E561)</x:f>
        <x:v>1.3986486486486487</x:v>
      </x:c>
    </x:row>
    <x:row r="562">
      <x:c r="A562" s="28" t="n">
        <x:v>40777</x:v>
      </x:c>
      <x:c r="B562" s="23" t="n">
        <x:v>38</x:v>
      </x:c>
      <x:c r="C562" s="23" t="str">
        <x:v>22197</x:v>
      </x:c>
      <x:c r="D562" s="23" t="str">
        <x:v>POPCORN HOLDER</x:v>
      </x:c>
      <x:c r="E562" s="34" t="n">
        <x:v>826</x:v>
      </x:c>
      <x:c r="F562" s="55" t="n">
        <x:v>645.94</x:v>
      </x:c>
      <x:c r="G562" s="58" t="n">
        <x:f>E561</x:f>
        <x:v>518</x:v>
      </x:c>
      <x:c r="H562" s="58" t="n">
        <x:f>AVERAGE(E558:E561)</x:f>
        <x:v>1216.75</x:v>
      </x:c>
      <x:c r="I562" s="58" t="n">
        <x:f>AVERAGE(E554:E561)</x:f>
        <x:v>838.875</x:v>
      </x:c>
      <x:c r="J562" s="58" t="n">
        <x:f>IF(G562="","",ABS(E562-G562))</x:f>
        <x:v>308</x:v>
      </x:c>
      <x:c r="K562" s="58" t="n">
        <x:f>IF(H562="","",ABS(E562-H562))</x:f>
        <x:v>390.75</x:v>
      </x:c>
      <x:c r="L562" s="58" t="n">
        <x:f>IF(I562="","",ABS(E562-I562))</x:f>
        <x:v>12.875</x:v>
      </x:c>
      <x:c r="M562" s="23" t="str">
        <x:f>IF(B562&gt;44,"Validation","Training")</x:f>
        <x:v>Training</x:v>
      </x:c>
      <x:c r="N562" s="61" t="n">
        <x:f>IF(OR(H562="",E562=0),"",K562/E562)</x:f>
        <x:v>0.4730629539951574</x:v>
      </x:c>
    </x:row>
    <x:row r="563">
      <x:c r="A563" s="28" t="n">
        <x:v>40784</x:v>
      </x:c>
      <x:c r="B563" s="23" t="n">
        <x:v>39</x:v>
      </x:c>
      <x:c r="C563" s="23" t="str">
        <x:v>22197</x:v>
      </x:c>
      <x:c r="D563" s="23" t="str">
        <x:v>POPCORN HOLDER</x:v>
      </x:c>
      <x:c r="E563" s="34" t="n">
        <x:v>956</x:v>
      </x:c>
      <x:c r="F563" s="55" t="n">
        <x:v>778.54</x:v>
      </x:c>
      <x:c r="G563" s="58" t="n">
        <x:f>E562</x:f>
        <x:v>826</x:v>
      </x:c>
      <x:c r="H563" s="58" t="n">
        <x:f>AVERAGE(E559:E562)</x:f>
        <x:v>1314.25</x:v>
      </x:c>
      <x:c r="I563" s="58" t="n">
        <x:f>AVERAGE(E555:E562)</x:f>
        <x:v>888.375</x:v>
      </x:c>
      <x:c r="J563" s="58" t="n">
        <x:f>IF(G563="","",ABS(E563-G563))</x:f>
        <x:v>130</x:v>
      </x:c>
      <x:c r="K563" s="58" t="n">
        <x:f>IF(H563="","",ABS(E563-H563))</x:f>
        <x:v>358.25</x:v>
      </x:c>
      <x:c r="L563" s="58" t="n">
        <x:f>IF(I563="","",ABS(E563-I563))</x:f>
        <x:v>67.625</x:v>
      </x:c>
      <x:c r="M563" s="23" t="str">
        <x:f>IF(B563&gt;44,"Validation","Training")</x:f>
        <x:v>Training</x:v>
      </x:c>
      <x:c r="N563" s="61" t="n">
        <x:f>IF(OR(H563="",E563=0),"",K563/E563)</x:f>
        <x:v>0.3747384937238494</x:v>
      </x:c>
    </x:row>
    <x:row r="564">
      <x:c r="A564" s="28" t="n">
        <x:v>40791</x:v>
      </x:c>
      <x:c r="B564" s="23" t="n">
        <x:v>40</x:v>
      </x:c>
      <x:c r="C564" s="23" t="str">
        <x:v>22197</x:v>
      </x:c>
      <x:c r="D564" s="23" t="str">
        <x:v>POPCORN HOLDER</x:v>
      </x:c>
      <x:c r="E564" s="34" t="n">
        <x:v>516</x:v>
      </x:c>
      <x:c r="F564" s="55" t="n">
        <x:v>446.92</x:v>
      </x:c>
      <x:c r="G564" s="58" t="n">
        <x:f>E563</x:f>
        <x:v>956</x:v>
      </x:c>
      <x:c r="H564" s="58" t="n">
        <x:f>AVERAGE(E560:E563)</x:f>
        <x:v>1008.75</x:v>
      </x:c>
      <x:c r="I564" s="58" t="n">
        <x:f>AVERAGE(E556:E563)</x:f>
        <x:v>928.375</x:v>
      </x:c>
      <x:c r="J564" s="58" t="n">
        <x:f>IF(G564="","",ABS(E564-G564))</x:f>
        <x:v>440</x:v>
      </x:c>
      <x:c r="K564" s="58" t="n">
        <x:f>IF(H564="","",ABS(E564-H564))</x:f>
        <x:v>492.75</x:v>
      </x:c>
      <x:c r="L564" s="58" t="n">
        <x:f>IF(I564="","",ABS(E564-I564))</x:f>
        <x:v>412.375</x:v>
      </x:c>
      <x:c r="M564" s="23" t="str">
        <x:f>IF(B564&gt;44,"Validation","Training")</x:f>
        <x:v>Training</x:v>
      </x:c>
      <x:c r="N564" s="61" t="n">
        <x:f>IF(OR(H564="",E564=0),"",K564/E564)</x:f>
        <x:v>0.9549418604651163</x:v>
      </x:c>
    </x:row>
    <x:row r="565">
      <x:c r="A565" s="28" t="n">
        <x:v>40798</x:v>
      </x:c>
      <x:c r="B565" s="23" t="n">
        <x:v>41</x:v>
      </x:c>
      <x:c r="C565" s="23" t="str">
        <x:v>22197</x:v>
      </x:c>
      <x:c r="D565" s="23" t="str">
        <x:v>POPCORN HOLDER</x:v>
      </x:c>
      <x:c r="E565" s="34" t="n">
        <x:v>570</x:v>
      </x:c>
      <x:c r="F565" s="55" t="n">
        <x:v>632.18</x:v>
      </x:c>
      <x:c r="G565" s="58" t="n">
        <x:f>E564</x:f>
        <x:v>516</x:v>
      </x:c>
      <x:c r="H565" s="58" t="n">
        <x:f>AVERAGE(E561:E564)</x:f>
        <x:v>704</x:v>
      </x:c>
      <x:c r="I565" s="58" t="n">
        <x:f>AVERAGE(E557:E564)</x:f>
        <x:v>973.25</x:v>
      </x:c>
      <x:c r="J565" s="58" t="n">
        <x:f>IF(G565="","",ABS(E565-G565))</x:f>
        <x:v>54</x:v>
      </x:c>
      <x:c r="K565" s="58" t="n">
        <x:f>IF(H565="","",ABS(E565-H565))</x:f>
        <x:v>134</x:v>
      </x:c>
      <x:c r="L565" s="58" t="n">
        <x:f>IF(I565="","",ABS(E565-I565))</x:f>
        <x:v>403.25</x:v>
      </x:c>
      <x:c r="M565" s="23" t="str">
        <x:f>IF(B565&gt;44,"Validation","Training")</x:f>
        <x:v>Training</x:v>
      </x:c>
      <x:c r="N565" s="61" t="n">
        <x:f>IF(OR(H565="",E565=0),"",K565/E565)</x:f>
        <x:v>0.23508771929824562</x:v>
      </x:c>
    </x:row>
    <x:row r="566">
      <x:c r="A566" s="28" t="n">
        <x:v>40805</x:v>
      </x:c>
      <x:c r="B566" s="23" t="n">
        <x:v>42</x:v>
      </x:c>
      <x:c r="C566" s="23" t="str">
        <x:v>22197</x:v>
      </x:c>
      <x:c r="D566" s="23" t="str">
        <x:v>POPCORN HOLDER</x:v>
      </x:c>
      <x:c r="E566" s="34" t="n">
        <x:v>682</x:v>
      </x:c>
      <x:c r="F566" s="55" t="n">
        <x:v>628.58</x:v>
      </x:c>
      <x:c r="G566" s="58" t="n">
        <x:f>E565</x:f>
        <x:v>570</x:v>
      </x:c>
      <x:c r="H566" s="58" t="n">
        <x:f>AVERAGE(E562:E565)</x:f>
        <x:v>717</x:v>
      </x:c>
      <x:c r="I566" s="58" t="n">
        <x:f>AVERAGE(E558:E565)</x:f>
        <x:v>966.875</x:v>
      </x:c>
      <x:c r="J566" s="58" t="n">
        <x:f>IF(G566="","",ABS(E566-G566))</x:f>
        <x:v>112</x:v>
      </x:c>
      <x:c r="K566" s="58" t="n">
        <x:f>IF(H566="","",ABS(E566-H566))</x:f>
        <x:v>35</x:v>
      </x:c>
      <x:c r="L566" s="58" t="n">
        <x:f>IF(I566="","",ABS(E566-I566))</x:f>
        <x:v>284.875</x:v>
      </x:c>
      <x:c r="M566" s="23" t="str">
        <x:f>IF(B566&gt;44,"Validation","Training")</x:f>
        <x:v>Training</x:v>
      </x:c>
      <x:c r="N566" s="61" t="n">
        <x:f>IF(OR(H566="",E566=0),"",K566/E566)</x:f>
        <x:v>0.051319648093841645</x:v>
      </x:c>
    </x:row>
    <x:row r="567">
      <x:c r="A567" s="28" t="n">
        <x:v>40812</x:v>
      </x:c>
      <x:c r="B567" s="23" t="n">
        <x:v>43</x:v>
      </x:c>
      <x:c r="C567" s="23" t="str">
        <x:v>22197</x:v>
      </x:c>
      <x:c r="D567" s="23" t="str">
        <x:v>POPCORN HOLDER</x:v>
      </x:c>
      <x:c r="E567" s="34" t="n">
        <x:v>1675</x:v>
      </x:c>
      <x:c r="F567" s="55" t="n">
        <x:v>1308.54</x:v>
      </x:c>
      <x:c r="G567" s="58" t="n">
        <x:f>E566</x:f>
        <x:v>682</x:v>
      </x:c>
      <x:c r="H567" s="58" t="n">
        <x:f>AVERAGE(E563:E566)</x:f>
        <x:v>681</x:v>
      </x:c>
      <x:c r="I567" s="58" t="n">
        <x:f>AVERAGE(E559:E566)</x:f>
        <x:v>997.625</x:v>
      </x:c>
      <x:c r="J567" s="58" t="n">
        <x:f>IF(G567="","",ABS(E567-G567))</x:f>
        <x:v>993</x:v>
      </x:c>
      <x:c r="K567" s="58" t="n">
        <x:f>IF(H567="","",ABS(E567-H567))</x:f>
        <x:v>994</x:v>
      </x:c>
      <x:c r="L567" s="58" t="n">
        <x:f>IF(I567="","",ABS(E567-I567))</x:f>
        <x:v>677.375</x:v>
      </x:c>
      <x:c r="M567" s="23" t="str">
        <x:f>IF(B567&gt;44,"Validation","Training")</x:f>
        <x:v>Training</x:v>
      </x:c>
      <x:c r="N567" s="61" t="n">
        <x:f>IF(OR(H567="",E567=0),"",K567/E567)</x:f>
        <x:v>0.5934328358208956</x:v>
      </x:c>
    </x:row>
    <x:row r="568">
      <x:c r="A568" s="28" t="n">
        <x:v>40819</x:v>
      </x:c>
      <x:c r="B568" s="23" t="n">
        <x:v>44</x:v>
      </x:c>
      <x:c r="C568" s="23" t="str">
        <x:v>22197</x:v>
      </x:c>
      <x:c r="D568" s="23" t="str">
        <x:v>POPCORN HOLDER</x:v>
      </x:c>
      <x:c r="E568" s="34" t="n">
        <x:v>835</x:v>
      </x:c>
      <x:c r="F568" s="55" t="n">
        <x:v>727.55</x:v>
      </x:c>
      <x:c r="G568" s="58" t="n">
        <x:f>E567</x:f>
        <x:v>1675</x:v>
      </x:c>
      <x:c r="H568" s="58" t="n">
        <x:f>AVERAGE(E564:E567)</x:f>
        <x:v>860.75</x:v>
      </x:c>
      <x:c r="I568" s="58" t="n">
        <x:f>AVERAGE(E560:E567)</x:f>
        <x:v>934.75</x:v>
      </x:c>
      <x:c r="J568" s="58" t="n">
        <x:f>IF(G568="","",ABS(E568-G568))</x:f>
        <x:v>840</x:v>
      </x:c>
      <x:c r="K568" s="58" t="n">
        <x:f>IF(H568="","",ABS(E568-H568))</x:f>
        <x:v>25.75</x:v>
      </x:c>
      <x:c r="L568" s="58" t="n">
        <x:f>IF(I568="","",ABS(E568-I568))</x:f>
        <x:v>99.75</x:v>
      </x:c>
      <x:c r="M568" s="23" t="str">
        <x:f>IF(B568&gt;44,"Validation","Training")</x:f>
        <x:v>Training</x:v>
      </x:c>
      <x:c r="N568" s="61" t="n">
        <x:f>IF(OR(H568="",E568=0),"",K568/E568)</x:f>
        <x:v>0.030838323353293413</x:v>
      </x:c>
    </x:row>
    <x:row r="569">
      <x:c r="A569" s="28" t="n">
        <x:v>40826</x:v>
      </x:c>
      <x:c r="B569" s="23" t="n">
        <x:v>45</x:v>
      </x:c>
      <x:c r="C569" s="23" t="str">
        <x:v>22197</x:v>
      </x:c>
      <x:c r="D569" s="23" t="str">
        <x:v>POPCORN HOLDER</x:v>
      </x:c>
      <x:c r="E569" s="34" t="n">
        <x:v>884</x:v>
      </x:c>
      <x:c r="F569" s="55" t="n">
        <x:v>807.13</x:v>
      </x:c>
      <x:c r="G569" s="58" t="n">
        <x:f>E568</x:f>
        <x:v>835</x:v>
      </x:c>
      <x:c r="H569" s="58" t="n">
        <x:f>AVERAGE(E565:E568)</x:f>
        <x:v>940.5</x:v>
      </x:c>
      <x:c r="I569" s="58" t="n">
        <x:f>AVERAGE(E561:E568)</x:f>
        <x:v>822.25</x:v>
      </x:c>
      <x:c r="J569" s="58" t="n">
        <x:f>IF(G569="","",ABS(E569-G569))</x:f>
        <x:v>49</x:v>
      </x:c>
      <x:c r="K569" s="58" t="n">
        <x:f>IF(H569="","",ABS(E569-H569))</x:f>
        <x:v>56.5</x:v>
      </x:c>
      <x:c r="L569" s="58" t="n">
        <x:f>IF(I569="","",ABS(E569-I569))</x:f>
        <x:v>61.75</x:v>
      </x:c>
      <x:c r="M569" s="23" t="str">
        <x:f>IF(B569&gt;44,"Validation","Training")</x:f>
        <x:v>Validation</x:v>
      </x:c>
      <x:c r="N569" s="61" t="n">
        <x:f>IF(OR(H569="",E569=0),"",K569/E569)</x:f>
        <x:v>0.06391402714932126</x:v>
      </x:c>
    </x:row>
    <x:row r="570">
      <x:c r="A570" s="28" t="n">
        <x:v>40833</x:v>
      </x:c>
      <x:c r="B570" s="23" t="n">
        <x:v>46</x:v>
      </x:c>
      <x:c r="C570" s="23" t="str">
        <x:v>22197</x:v>
      </x:c>
      <x:c r="D570" s="23" t="str">
        <x:v>POPCORN HOLDER</x:v>
      </x:c>
      <x:c r="E570" s="34" t="n">
        <x:v>1164</x:v>
      </x:c>
      <x:c r="F570" s="55" t="n">
        <x:v>941.93</x:v>
      </x:c>
      <x:c r="G570" s="58" t="n">
        <x:f>E569</x:f>
        <x:v>884</x:v>
      </x:c>
      <x:c r="H570" s="58" t="n">
        <x:f>AVERAGE(E566:E569)</x:f>
        <x:v>1019</x:v>
      </x:c>
      <x:c r="I570" s="58" t="n">
        <x:f>AVERAGE(E562:E569)</x:f>
        <x:v>868</x:v>
      </x:c>
      <x:c r="J570" s="58" t="n">
        <x:f>IF(G570="","",ABS(E570-G570))</x:f>
        <x:v>280</x:v>
      </x:c>
      <x:c r="K570" s="58" t="n">
        <x:f>IF(H570="","",ABS(E570-H570))</x:f>
        <x:v>145</x:v>
      </x:c>
      <x:c r="L570" s="58" t="n">
        <x:f>IF(I570="","",ABS(E570-I570))</x:f>
        <x:v>296</x:v>
      </x:c>
      <x:c r="M570" s="23" t="str">
        <x:f>IF(B570&gt;44,"Validation","Training")</x:f>
        <x:v>Validation</x:v>
      </x:c>
      <x:c r="N570" s="61" t="n">
        <x:f>IF(OR(H570="",E570=0),"",K570/E570)</x:f>
        <x:v>0.12457044673539519</x:v>
      </x:c>
    </x:row>
    <x:row r="571">
      <x:c r="A571" s="28" t="n">
        <x:v>40840</x:v>
      </x:c>
      <x:c r="B571" s="23" t="n">
        <x:v>47</x:v>
      </x:c>
      <x:c r="C571" s="23" t="str">
        <x:v>22197</x:v>
      </x:c>
      <x:c r="D571" s="23" t="str">
        <x:v>POPCORN HOLDER</x:v>
      </x:c>
      <x:c r="E571" s="34" t="n">
        <x:v>2775</x:v>
      </x:c>
      <x:c r="F571" s="55" t="n">
        <x:v>2109.05</x:v>
      </x:c>
      <x:c r="G571" s="58" t="n">
        <x:f>E570</x:f>
        <x:v>1164</x:v>
      </x:c>
      <x:c r="H571" s="58" t="n">
        <x:f>AVERAGE(E567:E570)</x:f>
        <x:v>1139.5</x:v>
      </x:c>
      <x:c r="I571" s="58" t="n">
        <x:f>AVERAGE(E563:E570)</x:f>
        <x:v>910.25</x:v>
      </x:c>
      <x:c r="J571" s="58" t="n">
        <x:f>IF(G571="","",ABS(E571-G571))</x:f>
        <x:v>1611</x:v>
      </x:c>
      <x:c r="K571" s="58" t="n">
        <x:f>IF(H571="","",ABS(E571-H571))</x:f>
        <x:v>1635.5</x:v>
      </x:c>
      <x:c r="L571" s="58" t="n">
        <x:f>IF(I571="","",ABS(E571-I571))</x:f>
        <x:v>1864.75</x:v>
      </x:c>
      <x:c r="M571" s="23" t="str">
        <x:f>IF(B571&gt;44,"Validation","Training")</x:f>
        <x:v>Validation</x:v>
      </x:c>
      <x:c r="N571" s="61" t="n">
        <x:f>IF(OR(H571="",E571=0),"",K571/E571)</x:f>
        <x:v>0.5893693693693693</x:v>
      </x:c>
    </x:row>
    <x:row r="572">
      <x:c r="A572" s="28" t="n">
        <x:v>40847</x:v>
      </x:c>
      <x:c r="B572" s="23" t="n">
        <x:v>48</x:v>
      </x:c>
      <x:c r="C572" s="23" t="str">
        <x:v>22197</x:v>
      </x:c>
      <x:c r="D572" s="23" t="str">
        <x:v>POPCORN HOLDER</x:v>
      </x:c>
      <x:c r="E572" s="34" t="n">
        <x:v>1156</x:v>
      </x:c>
      <x:c r="F572" s="55" t="n">
        <x:v>975.32</x:v>
      </x:c>
      <x:c r="G572" s="58" t="n">
        <x:f>E571</x:f>
        <x:v>2775</x:v>
      </x:c>
      <x:c r="H572" s="58" t="n">
        <x:f>AVERAGE(E568:E571)</x:f>
        <x:v>1414.5</x:v>
      </x:c>
      <x:c r="I572" s="58" t="n">
        <x:f>AVERAGE(E564:E571)</x:f>
        <x:v>1137.625</x:v>
      </x:c>
      <x:c r="J572" s="58" t="n">
        <x:f>IF(G572="","",ABS(E572-G572))</x:f>
        <x:v>1619</x:v>
      </x:c>
      <x:c r="K572" s="58" t="n">
        <x:f>IF(H572="","",ABS(E572-H572))</x:f>
        <x:v>258.5</x:v>
      </x:c>
      <x:c r="L572" s="58" t="n">
        <x:f>IF(I572="","",ABS(E572-I572))</x:f>
        <x:v>18.375</x:v>
      </x:c>
      <x:c r="M572" s="23" t="str">
        <x:f>IF(B572&gt;44,"Validation","Training")</x:f>
        <x:v>Validation</x:v>
      </x:c>
      <x:c r="N572" s="61" t="n">
        <x:f>IF(OR(H572="",E572=0),"",K572/E572)</x:f>
        <x:v>0.2236159169550173</x:v>
      </x:c>
    </x:row>
    <x:row r="573">
      <x:c r="A573" s="28" t="n">
        <x:v>40854</x:v>
      </x:c>
      <x:c r="B573" s="23" t="n">
        <x:v>49</x:v>
      </x:c>
      <x:c r="C573" s="23" t="str">
        <x:v>22197</x:v>
      </x:c>
      <x:c r="D573" s="23" t="str">
        <x:v>POPCORN HOLDER</x:v>
      </x:c>
      <x:c r="E573" s="34" t="n">
        <x:v>3900</x:v>
      </x:c>
      <x:c r="F573" s="55" t="n">
        <x:v>5394.52</x:v>
      </x:c>
      <x:c r="G573" s="58" t="n">
        <x:f>E572</x:f>
        <x:v>1156</x:v>
      </x:c>
      <x:c r="H573" s="58" t="n">
        <x:f>AVERAGE(E569:E572)</x:f>
        <x:v>1494.75</x:v>
      </x:c>
      <x:c r="I573" s="58" t="n">
        <x:f>AVERAGE(E565:E572)</x:f>
        <x:v>1217.625</x:v>
      </x:c>
      <x:c r="J573" s="58" t="n">
        <x:f>IF(G573="","",ABS(E573-G573))</x:f>
        <x:v>2744</x:v>
      </x:c>
      <x:c r="K573" s="58" t="n">
        <x:f>IF(H573="","",ABS(E573-H573))</x:f>
        <x:v>2405.25</x:v>
      </x:c>
      <x:c r="L573" s="58" t="n">
        <x:f>IF(I573="","",ABS(E573-I573))</x:f>
        <x:v>2682.375</x:v>
      </x:c>
      <x:c r="M573" s="23" t="str">
        <x:f>IF(B573&gt;44,"Validation","Training")</x:f>
        <x:v>Validation</x:v>
      </x:c>
      <x:c r="N573" s="61" t="n">
        <x:f>IF(OR(H573="",E573=0),"",K573/E573)</x:f>
        <x:v>0.6167307692307692</x:v>
      </x:c>
    </x:row>
    <x:row r="574">
      <x:c r="A574" s="28" t="n">
        <x:v>40861</x:v>
      </x:c>
      <x:c r="B574" s="23" t="n">
        <x:v>50</x:v>
      </x:c>
      <x:c r="C574" s="23" t="str">
        <x:v>22197</x:v>
      </x:c>
      <x:c r="D574" s="23" t="str">
        <x:v>POPCORN HOLDER</x:v>
      </x:c>
      <x:c r="E574" s="34" t="n">
        <x:v>3145</x:v>
      </x:c>
      <x:c r="F574" s="55" t="n">
        <x:v>4110.95</x:v>
      </x:c>
      <x:c r="G574" s="58" t="n">
        <x:f>E573</x:f>
        <x:v>3900</x:v>
      </x:c>
      <x:c r="H574" s="58" t="n">
        <x:f>AVERAGE(E570:E573)</x:f>
        <x:v>2248.75</x:v>
      </x:c>
      <x:c r="I574" s="58" t="n">
        <x:f>AVERAGE(E566:E573)</x:f>
        <x:v>1633.875</x:v>
      </x:c>
      <x:c r="J574" s="58" t="n">
        <x:f>IF(G574="","",ABS(E574-G574))</x:f>
        <x:v>755</x:v>
      </x:c>
      <x:c r="K574" s="58" t="n">
        <x:f>IF(H574="","",ABS(E574-H574))</x:f>
        <x:v>896.25</x:v>
      </x:c>
      <x:c r="L574" s="58" t="n">
        <x:f>IF(I574="","",ABS(E574-I574))</x:f>
        <x:v>1511.125</x:v>
      </x:c>
      <x:c r="M574" s="23" t="str">
        <x:f>IF(B574&gt;44,"Validation","Training")</x:f>
        <x:v>Validation</x:v>
      </x:c>
      <x:c r="N574" s="61" t="n">
        <x:f>IF(OR(H574="",E574=0),"",K574/E574)</x:f>
        <x:v>0.28497615262321147</x:v>
      </x:c>
    </x:row>
    <x:row r="575">
      <x:c r="A575" s="28" t="n">
        <x:v>40868</x:v>
      </x:c>
      <x:c r="B575" s="23" t="n">
        <x:v>51</x:v>
      </x:c>
      <x:c r="C575" s="23" t="str">
        <x:v>22197</x:v>
      </x:c>
      <x:c r="D575" s="23" t="str">
        <x:v>POPCORN HOLDER</x:v>
      </x:c>
      <x:c r="E575" s="34" t="n">
        <x:v>2955</x:v>
      </x:c>
      <x:c r="F575" s="55" t="n">
        <x:v>2575.75</x:v>
      </x:c>
      <x:c r="G575" s="58" t="n">
        <x:f>E574</x:f>
        <x:v>3145</x:v>
      </x:c>
      <x:c r="H575" s="58" t="n">
        <x:f>AVERAGE(E571:E574)</x:f>
        <x:v>2744</x:v>
      </x:c>
      <x:c r="I575" s="58" t="n">
        <x:f>AVERAGE(E567:E574)</x:f>
        <x:v>1941.75</x:v>
      </x:c>
      <x:c r="J575" s="58" t="n">
        <x:f>IF(G575="","",ABS(E575-G575))</x:f>
        <x:v>190</x:v>
      </x:c>
      <x:c r="K575" s="58" t="n">
        <x:f>IF(H575="","",ABS(E575-H575))</x:f>
        <x:v>211</x:v>
      </x:c>
      <x:c r="L575" s="58" t="n">
        <x:f>IF(I575="","",ABS(E575-I575))</x:f>
        <x:v>1013.25</x:v>
      </x:c>
      <x:c r="M575" s="23" t="str">
        <x:f>IF(B575&gt;44,"Validation","Training")</x:f>
        <x:v>Validation</x:v>
      </x:c>
      <x:c r="N575" s="61" t="n">
        <x:f>IF(OR(H575="",E575=0),"",K575/E575)</x:f>
        <x:v>0.07140439932318104</x:v>
      </x:c>
    </x:row>
    <x:row r="576">
      <x:c r="A576" s="28" t="n">
        <x:v>40875</x:v>
      </x:c>
      <x:c r="B576" s="23" t="n">
        <x:v>52</x:v>
      </x:c>
      <x:c r="C576" s="23" t="str">
        <x:v>22197</x:v>
      </x:c>
      <x:c r="D576" s="23" t="str">
        <x:v>POPCORN HOLDER</x:v>
      </x:c>
      <x:c r="E576" s="34" t="n">
        <x:v>3275</x:v>
      </x:c>
      <x:c r="F576" s="55" t="n">
        <x:v>2868.37</x:v>
      </x:c>
      <x:c r="G576" s="58" t="n">
        <x:f>E575</x:f>
        <x:v>2955</x:v>
      </x:c>
      <x:c r="H576" s="58" t="n">
        <x:f>AVERAGE(E572:E575)</x:f>
        <x:v>2789</x:v>
      </x:c>
      <x:c r="I576" s="58" t="n">
        <x:f>AVERAGE(E568:E575)</x:f>
        <x:v>2101.75</x:v>
      </x:c>
      <x:c r="J576" s="58" t="n">
        <x:f>IF(G576="","",ABS(E576-G576))</x:f>
        <x:v>320</x:v>
      </x:c>
      <x:c r="K576" s="58" t="n">
        <x:f>IF(H576="","",ABS(E576-H576))</x:f>
        <x:v>486</x:v>
      </x:c>
      <x:c r="L576" s="58" t="n">
        <x:f>IF(I576="","",ABS(E576-I576))</x:f>
        <x:v>1173.25</x:v>
      </x:c>
      <x:c r="M576" s="23" t="str">
        <x:f>IF(B576&gt;44,"Validation","Training")</x:f>
        <x:v>Validation</x:v>
      </x:c>
      <x:c r="N576" s="61" t="n">
        <x:f>IF(OR(H576="",E576=0),"",K576/E576)</x:f>
        <x:v>0.1483969465648855</x:v>
      </x:c>
    </x:row>
    <x:row r="577">
      <x:c r="A577" s="28" t="n">
        <x:v>40518</x:v>
      </x:c>
      <x:c r="B577" s="23" t="n">
        <x:v>1</x:v>
      </x:c>
      <x:c r="C577" s="23" t="str">
        <x:v>23298</x:v>
      </x:c>
      <x:c r="D577" s="23" t="str">
        <x:v>SPOTTY BUNTING</x:v>
      </x:c>
      <x:c r="E577" s="34" t="n">
        <x:v>0</x:v>
      </x:c>
      <x:c r="F577" s="55" t="n">
        <x:v>0</x:v>
      </x:c>
      <x:c r="G577" s="58" t="str">
        <x:f>""</x:f>
      </x:c>
      <x:c r="H577" s="58" t="str">
        <x:f>""</x:f>
      </x:c>
      <x:c r="I577" s="58" t="str">
        <x:f>""</x:f>
      </x:c>
      <x:c r="J577" s="58" t="str">
        <x:f>IF(G577="","",ABS(E577-G577))</x:f>
      </x:c>
      <x:c r="K577" s="58" t="str">
        <x:f>IF(H577="","",ABS(E577-H577))</x:f>
      </x:c>
      <x:c r="L577" s="58" t="str">
        <x:f>IF(I577="","",ABS(E577-I577))</x:f>
      </x:c>
      <x:c r="M577" s="23" t="str">
        <x:f>IF(B577&gt;44,"Validation","Training")</x:f>
        <x:v>Training</x:v>
      </x:c>
      <x:c r="N577" s="61" t="str">
        <x:f>IF(OR(H577="",E577=0),"",K577/E577)</x:f>
      </x:c>
    </x:row>
    <x:row r="578">
      <x:c r="A578" s="28" t="n">
        <x:v>40525</x:v>
      </x:c>
      <x:c r="B578" s="23" t="n">
        <x:v>2</x:v>
      </x:c>
      <x:c r="C578" s="23" t="str">
        <x:v>23298</x:v>
      </x:c>
      <x:c r="D578" s="23" t="str">
        <x:v>SPOTTY BUNTING</x:v>
      </x:c>
      <x:c r="E578" s="34" t="n">
        <x:v>0</x:v>
      </x:c>
      <x:c r="F578" s="55" t="n">
        <x:v>0</x:v>
      </x:c>
      <x:c r="G578" s="58" t="n">
        <x:f>E577</x:f>
        <x:v>0</x:v>
      </x:c>
      <x:c r="H578" s="58" t="str">
        <x:f>""</x:f>
      </x:c>
      <x:c r="I578" s="58" t="str">
        <x:f>""</x:f>
      </x:c>
      <x:c r="J578" s="58" t="str">
        <x:f>IF(G578="","",ABS(E578-G578))</x:f>
      </x:c>
      <x:c r="K578" s="58" t="str">
        <x:f>IF(H578="","",ABS(E578-H578))</x:f>
      </x:c>
      <x:c r="L578" s="58" t="str">
        <x:f>IF(I578="","",ABS(E578-I578))</x:f>
      </x:c>
      <x:c r="M578" s="23" t="str">
        <x:f>IF(B578&gt;44,"Validation","Training")</x:f>
        <x:v>Training</x:v>
      </x:c>
      <x:c r="N578" s="61" t="str">
        <x:f>IF(OR(H578="",E578=0),"",K578/E578)</x:f>
      </x:c>
    </x:row>
    <x:row r="579">
      <x:c r="A579" s="28" t="n">
        <x:v>40532</x:v>
      </x:c>
      <x:c r="B579" s="23" t="n">
        <x:v>3</x:v>
      </x:c>
      <x:c r="C579" s="23" t="str">
        <x:v>23298</x:v>
      </x:c>
      <x:c r="D579" s="23" t="str">
        <x:v>SPOTTY BUNTING</x:v>
      </x:c>
      <x:c r="E579" s="34" t="n">
        <x:v>0</x:v>
      </x:c>
      <x:c r="F579" s="55" t="n">
        <x:v>0</x:v>
      </x:c>
      <x:c r="G579" s="58" t="n">
        <x:f>E578</x:f>
        <x:v>0</x:v>
      </x:c>
      <x:c r="H579" s="58" t="str">
        <x:f>""</x:f>
      </x:c>
      <x:c r="I579" s="58" t="str">
        <x:f>""</x:f>
      </x:c>
      <x:c r="J579" s="58" t="str">
        <x:f>IF(G579="","",ABS(E579-G579))</x:f>
      </x:c>
      <x:c r="K579" s="58" t="str">
        <x:f>IF(H579="","",ABS(E579-H579))</x:f>
      </x:c>
      <x:c r="L579" s="58" t="str">
        <x:f>IF(I579="","",ABS(E579-I579))</x:f>
      </x:c>
      <x:c r="M579" s="23" t="str">
        <x:f>IF(B579&gt;44,"Validation","Training")</x:f>
        <x:v>Training</x:v>
      </x:c>
      <x:c r="N579" s="61" t="str">
        <x:f>IF(OR(H579="",E579=0),"",K579/E579)</x:f>
      </x:c>
    </x:row>
    <x:row r="580">
      <x:c r="A580" s="28" t="n">
        <x:v>40539</x:v>
      </x:c>
      <x:c r="B580" s="23" t="n">
        <x:v>4</x:v>
      </x:c>
      <x:c r="C580" s="23" t="str">
        <x:v>23298</x:v>
      </x:c>
      <x:c r="D580" s="23" t="str">
        <x:v>SPOTTY BUNTING</x:v>
      </x:c>
      <x:c r="E580" s="34" t="n">
        <x:v>0</x:v>
      </x:c>
      <x:c r="F580" s="55" t="n">
        <x:v>0</x:v>
      </x:c>
      <x:c r="G580" s="58" t="n">
        <x:f>E579</x:f>
        <x:v>0</x:v>
      </x:c>
      <x:c r="H580" s="58" t="str">
        <x:f>""</x:f>
      </x:c>
      <x:c r="I580" s="58" t="str">
        <x:f>""</x:f>
      </x:c>
      <x:c r="J580" s="58" t="str">
        <x:f>IF(G580="","",ABS(E580-G580))</x:f>
      </x:c>
      <x:c r="K580" s="58" t="str">
        <x:f>IF(H580="","",ABS(E580-H580))</x:f>
      </x:c>
      <x:c r="L580" s="58" t="str">
        <x:f>IF(I580="","",ABS(E580-I580))</x:f>
      </x:c>
      <x:c r="M580" s="23" t="str">
        <x:f>IF(B580&gt;44,"Validation","Training")</x:f>
        <x:v>Training</x:v>
      </x:c>
      <x:c r="N580" s="61" t="str">
        <x:f>IF(OR(H580="",E580=0),"",K580/E580)</x:f>
      </x:c>
    </x:row>
    <x:row r="581">
      <x:c r="A581" s="28" t="n">
        <x:v>40546</x:v>
      </x:c>
      <x:c r="B581" s="23" t="n">
        <x:v>5</x:v>
      </x:c>
      <x:c r="C581" s="23" t="str">
        <x:v>23298</x:v>
      </x:c>
      <x:c r="D581" s="23" t="str">
        <x:v>SPOTTY BUNTING</x:v>
      </x:c>
      <x:c r="E581" s="34" t="n">
        <x:v>0</x:v>
      </x:c>
      <x:c r="F581" s="55" t="n">
        <x:v>0</x:v>
      </x:c>
      <x:c r="G581" s="58" t="n">
        <x:f>E580</x:f>
        <x:v>0</x:v>
      </x:c>
      <x:c r="H581" s="58" t="n">
        <x:f>AVERAGE(E577:E580)</x:f>
        <x:v>0</x:v>
      </x:c>
      <x:c r="I581" s="58" t="str">
        <x:f>""</x:f>
      </x:c>
      <x:c r="J581" s="58" t="str">
        <x:f>IF(G581="","",ABS(E581-G581))</x:f>
      </x:c>
      <x:c r="K581" s="58" t="str">
        <x:f>IF(H581="","",ABS(E581-H581))</x:f>
      </x:c>
      <x:c r="L581" s="58" t="str">
        <x:f>IF(I581="","",ABS(E581-I581))</x:f>
      </x:c>
      <x:c r="M581" s="23" t="str">
        <x:f>IF(B581&gt;44,"Validation","Training")</x:f>
        <x:v>Training</x:v>
      </x:c>
      <x:c r="N581" s="61" t="str">
        <x:f>IF(OR(H581="",E581=0),"",K581/E581)</x:f>
      </x:c>
    </x:row>
    <x:row r="582">
      <x:c r="A582" s="28" t="n">
        <x:v>40553</x:v>
      </x:c>
      <x:c r="B582" s="23" t="n">
        <x:v>6</x:v>
      </x:c>
      <x:c r="C582" s="23" t="str">
        <x:v>23298</x:v>
      </x:c>
      <x:c r="D582" s="23" t="str">
        <x:v>SPOTTY BUNTING</x:v>
      </x:c>
      <x:c r="E582" s="34" t="n">
        <x:v>0</x:v>
      </x:c>
      <x:c r="F582" s="55" t="n">
        <x:v>0</x:v>
      </x:c>
      <x:c r="G582" s="58" t="n">
        <x:f>E581</x:f>
        <x:v>0</x:v>
      </x:c>
      <x:c r="H582" s="58" t="n">
        <x:f>AVERAGE(E578:E581)</x:f>
        <x:v>0</x:v>
      </x:c>
      <x:c r="I582" s="58" t="str">
        <x:f>""</x:f>
      </x:c>
      <x:c r="J582" s="58" t="str">
        <x:f>IF(G582="","",ABS(E582-G582))</x:f>
      </x:c>
      <x:c r="K582" s="58" t="str">
        <x:f>IF(H582="","",ABS(E582-H582))</x:f>
      </x:c>
      <x:c r="L582" s="58" t="str">
        <x:f>IF(I582="","",ABS(E582-I582))</x:f>
      </x:c>
      <x:c r="M582" s="23" t="str">
        <x:f>IF(B582&gt;44,"Validation","Training")</x:f>
        <x:v>Training</x:v>
      </x:c>
      <x:c r="N582" s="61" t="str">
        <x:f>IF(OR(H582="",E582=0),"",K582/E582)</x:f>
      </x:c>
    </x:row>
    <x:row r="583">
      <x:c r="A583" s="28" t="n">
        <x:v>40560</x:v>
      </x:c>
      <x:c r="B583" s="23" t="n">
        <x:v>7</x:v>
      </x:c>
      <x:c r="C583" s="23" t="str">
        <x:v>23298</x:v>
      </x:c>
      <x:c r="D583" s="23" t="str">
        <x:v>SPOTTY BUNTING</x:v>
      </x:c>
      <x:c r="E583" s="34" t="n">
        <x:v>0</x:v>
      </x:c>
      <x:c r="F583" s="55" t="n">
        <x:v>0</x:v>
      </x:c>
      <x:c r="G583" s="58" t="n">
        <x:f>E582</x:f>
        <x:v>0</x:v>
      </x:c>
      <x:c r="H583" s="58" t="n">
        <x:f>AVERAGE(E579:E582)</x:f>
        <x:v>0</x:v>
      </x:c>
      <x:c r="I583" s="58" t="str">
        <x:f>""</x:f>
      </x:c>
      <x:c r="J583" s="58" t="str">
        <x:f>IF(G583="","",ABS(E583-G583))</x:f>
      </x:c>
      <x:c r="K583" s="58" t="str">
        <x:f>IF(H583="","",ABS(E583-H583))</x:f>
      </x:c>
      <x:c r="L583" s="58" t="str">
        <x:f>IF(I583="","",ABS(E583-I583))</x:f>
      </x:c>
      <x:c r="M583" s="23" t="str">
        <x:f>IF(B583&gt;44,"Validation","Training")</x:f>
        <x:v>Training</x:v>
      </x:c>
      <x:c r="N583" s="61" t="str">
        <x:f>IF(OR(H583="",E583=0),"",K583/E583)</x:f>
      </x:c>
    </x:row>
    <x:row r="584">
      <x:c r="A584" s="28" t="n">
        <x:v>40567</x:v>
      </x:c>
      <x:c r="B584" s="23" t="n">
        <x:v>8</x:v>
      </x:c>
      <x:c r="C584" s="23" t="str">
        <x:v>23298</x:v>
      </x:c>
      <x:c r="D584" s="23" t="str">
        <x:v>SPOTTY BUNTING</x:v>
      </x:c>
      <x:c r="E584" s="34" t="n">
        <x:v>0</x:v>
      </x:c>
      <x:c r="F584" s="55" t="n">
        <x:v>0</x:v>
      </x:c>
      <x:c r="G584" s="58" t="n">
        <x:f>E583</x:f>
        <x:v>0</x:v>
      </x:c>
      <x:c r="H584" s="58" t="n">
        <x:f>AVERAGE(E580:E583)</x:f>
        <x:v>0</x:v>
      </x:c>
      <x:c r="I584" s="58" t="str">
        <x:f>""</x:f>
      </x:c>
      <x:c r="J584" s="58" t="str">
        <x:f>IF(G584="","",ABS(E584-G584))</x:f>
      </x:c>
      <x:c r="K584" s="58" t="str">
        <x:f>IF(H584="","",ABS(E584-H584))</x:f>
      </x:c>
      <x:c r="L584" s="58" t="str">
        <x:f>IF(I584="","",ABS(E584-I584))</x:f>
      </x:c>
      <x:c r="M584" s="23" t="str">
        <x:f>IF(B584&gt;44,"Validation","Training")</x:f>
        <x:v>Training</x:v>
      </x:c>
      <x:c r="N584" s="61" t="str">
        <x:f>IF(OR(H584="",E584=0),"",K584/E584)</x:f>
      </x:c>
    </x:row>
    <x:row r="585">
      <x:c r="A585" s="28" t="n">
        <x:v>40574</x:v>
      </x:c>
      <x:c r="B585" s="23" t="n">
        <x:v>9</x:v>
      </x:c>
      <x:c r="C585" s="23" t="str">
        <x:v>23298</x:v>
      </x:c>
      <x:c r="D585" s="23" t="str">
        <x:v>SPOTTY BUNTING</x:v>
      </x:c>
      <x:c r="E585" s="34" t="n">
        <x:v>0</x:v>
      </x:c>
      <x:c r="F585" s="55" t="n">
        <x:v>0</x:v>
      </x:c>
      <x:c r="G585" s="58" t="n">
        <x:f>E584</x:f>
        <x:v>0</x:v>
      </x:c>
      <x:c r="H585" s="58" t="n">
        <x:f>AVERAGE(E581:E584)</x:f>
        <x:v>0</x:v>
      </x:c>
      <x:c r="I585" s="58" t="n">
        <x:f>AVERAGE(E577:E584)</x:f>
        <x:v>0</x:v>
      </x:c>
      <x:c r="J585" s="58" t="str">
        <x:f>IF(G585="","",ABS(E585-G585))</x:f>
      </x:c>
      <x:c r="K585" s="58" t="str">
        <x:f>IF(H585="","",ABS(E585-H585))</x:f>
      </x:c>
      <x:c r="L585" s="58" t="str">
        <x:f>IF(I585="","",ABS(E585-I585))</x:f>
      </x:c>
      <x:c r="M585" s="23" t="str">
        <x:f>IF(B585&gt;44,"Validation","Training")</x:f>
        <x:v>Training</x:v>
      </x:c>
      <x:c r="N585" s="61" t="str">
        <x:f>IF(OR(H585="",E585=0),"",K585/E585)</x:f>
      </x:c>
    </x:row>
    <x:row r="586">
      <x:c r="A586" s="28" t="n">
        <x:v>40581</x:v>
      </x:c>
      <x:c r="B586" s="23" t="n">
        <x:v>10</x:v>
      </x:c>
      <x:c r="C586" s="23" t="str">
        <x:v>23298</x:v>
      </x:c>
      <x:c r="D586" s="23" t="str">
        <x:v>SPOTTY BUNTING</x:v>
      </x:c>
      <x:c r="E586" s="34" t="n">
        <x:v>0</x:v>
      </x:c>
      <x:c r="F586" s="55" t="n">
        <x:v>0</x:v>
      </x:c>
      <x:c r="G586" s="58" t="n">
        <x:f>E585</x:f>
        <x:v>0</x:v>
      </x:c>
      <x:c r="H586" s="58" t="n">
        <x:f>AVERAGE(E582:E585)</x:f>
        <x:v>0</x:v>
      </x:c>
      <x:c r="I586" s="58" t="n">
        <x:f>AVERAGE(E578:E585)</x:f>
        <x:v>0</x:v>
      </x:c>
      <x:c r="J586" s="58" t="str">
        <x:f>IF(G586="","",ABS(E586-G586))</x:f>
      </x:c>
      <x:c r="K586" s="58" t="str">
        <x:f>IF(H586="","",ABS(E586-H586))</x:f>
      </x:c>
      <x:c r="L586" s="58" t="str">
        <x:f>IF(I586="","",ABS(E586-I586))</x:f>
      </x:c>
      <x:c r="M586" s="23" t="str">
        <x:f>IF(B586&gt;44,"Validation","Training")</x:f>
        <x:v>Training</x:v>
      </x:c>
      <x:c r="N586" s="61" t="str">
        <x:f>IF(OR(H586="",E586=0),"",K586/E586)</x:f>
      </x:c>
    </x:row>
    <x:row r="587">
      <x:c r="A587" s="28" t="n">
        <x:v>40588</x:v>
      </x:c>
      <x:c r="B587" s="23" t="n">
        <x:v>11</x:v>
      </x:c>
      <x:c r="C587" s="23" t="str">
        <x:v>23298</x:v>
      </x:c>
      <x:c r="D587" s="23" t="str">
        <x:v>SPOTTY BUNTING</x:v>
      </x:c>
      <x:c r="E587" s="34" t="n">
        <x:v>0</x:v>
      </x:c>
      <x:c r="F587" s="55" t="n">
        <x:v>0</x:v>
      </x:c>
      <x:c r="G587" s="58" t="n">
        <x:f>E586</x:f>
        <x:v>0</x:v>
      </x:c>
      <x:c r="H587" s="58" t="n">
        <x:f>AVERAGE(E583:E586)</x:f>
        <x:v>0</x:v>
      </x:c>
      <x:c r="I587" s="58" t="n">
        <x:f>AVERAGE(E579:E586)</x:f>
        <x:v>0</x:v>
      </x:c>
      <x:c r="J587" s="58" t="str">
        <x:f>IF(G587="","",ABS(E587-G587))</x:f>
      </x:c>
      <x:c r="K587" s="58" t="str">
        <x:f>IF(H587="","",ABS(E587-H587))</x:f>
      </x:c>
      <x:c r="L587" s="58" t="str">
        <x:f>IF(I587="","",ABS(E587-I587))</x:f>
      </x:c>
      <x:c r="M587" s="23" t="str">
        <x:f>IF(B587&gt;44,"Validation","Training")</x:f>
        <x:v>Training</x:v>
      </x:c>
      <x:c r="N587" s="61" t="str">
        <x:f>IF(OR(H587="",E587=0),"",K587/E587)</x:f>
      </x:c>
    </x:row>
    <x:row r="588">
      <x:c r="A588" s="28" t="n">
        <x:v>40595</x:v>
      </x:c>
      <x:c r="B588" s="23" t="n">
        <x:v>12</x:v>
      </x:c>
      <x:c r="C588" s="23" t="str">
        <x:v>23298</x:v>
      </x:c>
      <x:c r="D588" s="23" t="str">
        <x:v>SPOTTY BUNTING</x:v>
      </x:c>
      <x:c r="E588" s="34" t="n">
        <x:v>0</x:v>
      </x:c>
      <x:c r="F588" s="55" t="n">
        <x:v>0</x:v>
      </x:c>
      <x:c r="G588" s="58" t="n">
        <x:f>E587</x:f>
        <x:v>0</x:v>
      </x:c>
      <x:c r="H588" s="58" t="n">
        <x:f>AVERAGE(E584:E587)</x:f>
        <x:v>0</x:v>
      </x:c>
      <x:c r="I588" s="58" t="n">
        <x:f>AVERAGE(E580:E587)</x:f>
        <x:v>0</x:v>
      </x:c>
      <x:c r="J588" s="58" t="str">
        <x:f>IF(G588="","",ABS(E588-G588))</x:f>
      </x:c>
      <x:c r="K588" s="58" t="str">
        <x:f>IF(H588="","",ABS(E588-H588))</x:f>
      </x:c>
      <x:c r="L588" s="58" t="str">
        <x:f>IF(I588="","",ABS(E588-I588))</x:f>
      </x:c>
      <x:c r="M588" s="23" t="str">
        <x:f>IF(B588&gt;44,"Validation","Training")</x:f>
        <x:v>Training</x:v>
      </x:c>
      <x:c r="N588" s="61" t="str">
        <x:f>IF(OR(H588="",E588=0),"",K588/E588)</x:f>
      </x:c>
    </x:row>
    <x:row r="589">
      <x:c r="A589" s="28" t="n">
        <x:v>40602</x:v>
      </x:c>
      <x:c r="B589" s="23" t="n">
        <x:v>13</x:v>
      </x:c>
      <x:c r="C589" s="23" t="str">
        <x:v>23298</x:v>
      </x:c>
      <x:c r="D589" s="23" t="str">
        <x:v>SPOTTY BUNTING</x:v>
      </x:c>
      <x:c r="E589" s="34" t="n">
        <x:v>0</x:v>
      </x:c>
      <x:c r="F589" s="55" t="n">
        <x:v>0</x:v>
      </x:c>
      <x:c r="G589" s="58" t="n">
        <x:f>E588</x:f>
        <x:v>0</x:v>
      </x:c>
      <x:c r="H589" s="58" t="n">
        <x:f>AVERAGE(E585:E588)</x:f>
        <x:v>0</x:v>
      </x:c>
      <x:c r="I589" s="58" t="n">
        <x:f>AVERAGE(E581:E588)</x:f>
        <x:v>0</x:v>
      </x:c>
      <x:c r="J589" s="58" t="str">
        <x:f>IF(G589="","",ABS(E589-G589))</x:f>
      </x:c>
      <x:c r="K589" s="58" t="str">
        <x:f>IF(H589="","",ABS(E589-H589))</x:f>
      </x:c>
      <x:c r="L589" s="58" t="str">
        <x:f>IF(I589="","",ABS(E589-I589))</x:f>
      </x:c>
      <x:c r="M589" s="23" t="str">
        <x:f>IF(B589&gt;44,"Validation","Training")</x:f>
        <x:v>Training</x:v>
      </x:c>
      <x:c r="N589" s="61" t="str">
        <x:f>IF(OR(H589="",E589=0),"",K589/E589)</x:f>
      </x:c>
    </x:row>
    <x:row r="590">
      <x:c r="A590" s="28" t="n">
        <x:v>40609</x:v>
      </x:c>
      <x:c r="B590" s="23" t="n">
        <x:v>14</x:v>
      </x:c>
      <x:c r="C590" s="23" t="str">
        <x:v>23298</x:v>
      </x:c>
      <x:c r="D590" s="23" t="str">
        <x:v>SPOTTY BUNTING</x:v>
      </x:c>
      <x:c r="E590" s="34" t="n">
        <x:v>0</x:v>
      </x:c>
      <x:c r="F590" s="55" t="n">
        <x:v>0</x:v>
      </x:c>
      <x:c r="G590" s="58" t="n">
        <x:f>E589</x:f>
        <x:v>0</x:v>
      </x:c>
      <x:c r="H590" s="58" t="n">
        <x:f>AVERAGE(E586:E589)</x:f>
        <x:v>0</x:v>
      </x:c>
      <x:c r="I590" s="58" t="n">
        <x:f>AVERAGE(E582:E589)</x:f>
        <x:v>0</x:v>
      </x:c>
      <x:c r="J590" s="58" t="str">
        <x:f>IF(G590="","",ABS(E590-G590))</x:f>
      </x:c>
      <x:c r="K590" s="58" t="str">
        <x:f>IF(H590="","",ABS(E590-H590))</x:f>
      </x:c>
      <x:c r="L590" s="58" t="str">
        <x:f>IF(I590="","",ABS(E590-I590))</x:f>
      </x:c>
      <x:c r="M590" s="23" t="str">
        <x:f>IF(B590&gt;44,"Validation","Training")</x:f>
        <x:v>Training</x:v>
      </x:c>
      <x:c r="N590" s="61" t="str">
        <x:f>IF(OR(H590="",E590=0),"",K590/E590)</x:f>
      </x:c>
    </x:row>
    <x:row r="591">
      <x:c r="A591" s="28" t="n">
        <x:v>40616</x:v>
      </x:c>
      <x:c r="B591" s="23" t="n">
        <x:v>15</x:v>
      </x:c>
      <x:c r="C591" s="23" t="str">
        <x:v>23298</x:v>
      </x:c>
      <x:c r="D591" s="23" t="str">
        <x:v>SPOTTY BUNTING</x:v>
      </x:c>
      <x:c r="E591" s="34" t="n">
        <x:v>0</x:v>
      </x:c>
      <x:c r="F591" s="55" t="n">
        <x:v>0</x:v>
      </x:c>
      <x:c r="G591" s="58" t="n">
        <x:f>E590</x:f>
        <x:v>0</x:v>
      </x:c>
      <x:c r="H591" s="58" t="n">
        <x:f>AVERAGE(E587:E590)</x:f>
        <x:v>0</x:v>
      </x:c>
      <x:c r="I591" s="58" t="n">
        <x:f>AVERAGE(E583:E590)</x:f>
        <x:v>0</x:v>
      </x:c>
      <x:c r="J591" s="58" t="str">
        <x:f>IF(G591="","",ABS(E591-G591))</x:f>
      </x:c>
      <x:c r="K591" s="58" t="str">
        <x:f>IF(H591="","",ABS(E591-H591))</x:f>
      </x:c>
      <x:c r="L591" s="58" t="str">
        <x:f>IF(I591="","",ABS(E591-I591))</x:f>
      </x:c>
      <x:c r="M591" s="23" t="str">
        <x:f>IF(B591&gt;44,"Validation","Training")</x:f>
        <x:v>Training</x:v>
      </x:c>
      <x:c r="N591" s="61" t="str">
        <x:f>IF(OR(H591="",E591=0),"",K591/E591)</x:f>
      </x:c>
    </x:row>
    <x:row r="592">
      <x:c r="A592" s="28" t="n">
        <x:v>40623</x:v>
      </x:c>
      <x:c r="B592" s="23" t="n">
        <x:v>16</x:v>
      </x:c>
      <x:c r="C592" s="23" t="str">
        <x:v>23298</x:v>
      </x:c>
      <x:c r="D592" s="23" t="str">
        <x:v>SPOTTY BUNTING</x:v>
      </x:c>
      <x:c r="E592" s="34" t="n">
        <x:v>0</x:v>
      </x:c>
      <x:c r="F592" s="55" t="n">
        <x:v>0</x:v>
      </x:c>
      <x:c r="G592" s="58" t="n">
        <x:f>E591</x:f>
        <x:v>0</x:v>
      </x:c>
      <x:c r="H592" s="58" t="n">
        <x:f>AVERAGE(E588:E591)</x:f>
        <x:v>0</x:v>
      </x:c>
      <x:c r="I592" s="58" t="n">
        <x:f>AVERAGE(E584:E591)</x:f>
        <x:v>0</x:v>
      </x:c>
      <x:c r="J592" s="58" t="str">
        <x:f>IF(G592="","",ABS(E592-G592))</x:f>
      </x:c>
      <x:c r="K592" s="58" t="str">
        <x:f>IF(H592="","",ABS(E592-H592))</x:f>
      </x:c>
      <x:c r="L592" s="58" t="str">
        <x:f>IF(I592="","",ABS(E592-I592))</x:f>
      </x:c>
      <x:c r="M592" s="23" t="str">
        <x:f>IF(B592&gt;44,"Validation","Training")</x:f>
        <x:v>Training</x:v>
      </x:c>
      <x:c r="N592" s="61" t="str">
        <x:f>IF(OR(H592="",E592=0),"",K592/E592)</x:f>
      </x:c>
    </x:row>
    <x:row r="593">
      <x:c r="A593" s="28" t="n">
        <x:v>40630</x:v>
      </x:c>
      <x:c r="B593" s="23" t="n">
        <x:v>17</x:v>
      </x:c>
      <x:c r="C593" s="23" t="str">
        <x:v>23298</x:v>
      </x:c>
      <x:c r="D593" s="23" t="str">
        <x:v>SPOTTY BUNTING</x:v>
      </x:c>
      <x:c r="E593" s="34" t="n">
        <x:v>0</x:v>
      </x:c>
      <x:c r="F593" s="55" t="n">
        <x:v>0</x:v>
      </x:c>
      <x:c r="G593" s="58" t="n">
        <x:f>E592</x:f>
        <x:v>0</x:v>
      </x:c>
      <x:c r="H593" s="58" t="n">
        <x:f>AVERAGE(E589:E592)</x:f>
        <x:v>0</x:v>
      </x:c>
      <x:c r="I593" s="58" t="n">
        <x:f>AVERAGE(E585:E592)</x:f>
        <x:v>0</x:v>
      </x:c>
      <x:c r="J593" s="58" t="str">
        <x:f>IF(G593="","",ABS(E593-G593))</x:f>
      </x:c>
      <x:c r="K593" s="58" t="str">
        <x:f>IF(H593="","",ABS(E593-H593))</x:f>
      </x:c>
      <x:c r="L593" s="58" t="str">
        <x:f>IF(I593="","",ABS(E593-I593))</x:f>
      </x:c>
      <x:c r="M593" s="23" t="str">
        <x:f>IF(B593&gt;44,"Validation","Training")</x:f>
        <x:v>Training</x:v>
      </x:c>
      <x:c r="N593" s="61" t="str">
        <x:f>IF(OR(H593="",E593=0),"",K593/E593)</x:f>
      </x:c>
    </x:row>
    <x:row r="594">
      <x:c r="A594" s="28" t="n">
        <x:v>40637</x:v>
      </x:c>
      <x:c r="B594" s="23" t="n">
        <x:v>18</x:v>
      </x:c>
      <x:c r="C594" s="23" t="str">
        <x:v>23298</x:v>
      </x:c>
      <x:c r="D594" s="23" t="str">
        <x:v>SPOTTY BUNTING</x:v>
      </x:c>
      <x:c r="E594" s="34" t="n">
        <x:v>0</x:v>
      </x:c>
      <x:c r="F594" s="55" t="n">
        <x:v>0</x:v>
      </x:c>
      <x:c r="G594" s="58" t="n">
        <x:f>E593</x:f>
        <x:v>0</x:v>
      </x:c>
      <x:c r="H594" s="58" t="n">
        <x:f>AVERAGE(E590:E593)</x:f>
        <x:v>0</x:v>
      </x:c>
      <x:c r="I594" s="58" t="n">
        <x:f>AVERAGE(E586:E593)</x:f>
        <x:v>0</x:v>
      </x:c>
      <x:c r="J594" s="58" t="str">
        <x:f>IF(G594="","",ABS(E594-G594))</x:f>
      </x:c>
      <x:c r="K594" s="58" t="str">
        <x:f>IF(H594="","",ABS(E594-H594))</x:f>
      </x:c>
      <x:c r="L594" s="58" t="str">
        <x:f>IF(I594="","",ABS(E594-I594))</x:f>
      </x:c>
      <x:c r="M594" s="23" t="str">
        <x:f>IF(B594&gt;44,"Validation","Training")</x:f>
        <x:v>Training</x:v>
      </x:c>
      <x:c r="N594" s="61" t="str">
        <x:f>IF(OR(H594="",E594=0),"",K594/E594)</x:f>
      </x:c>
    </x:row>
    <x:row r="595">
      <x:c r="A595" s="28" t="n">
        <x:v>40644</x:v>
      </x:c>
      <x:c r="B595" s="23" t="n">
        <x:v>19</x:v>
      </x:c>
      <x:c r="C595" s="23" t="str">
        <x:v>23298</x:v>
      </x:c>
      <x:c r="D595" s="23" t="str">
        <x:v>SPOTTY BUNTING</x:v>
      </x:c>
      <x:c r="E595" s="34" t="n">
        <x:v>0</x:v>
      </x:c>
      <x:c r="F595" s="55" t="n">
        <x:v>0</x:v>
      </x:c>
      <x:c r="G595" s="58" t="n">
        <x:f>E594</x:f>
        <x:v>0</x:v>
      </x:c>
      <x:c r="H595" s="58" t="n">
        <x:f>AVERAGE(E591:E594)</x:f>
        <x:v>0</x:v>
      </x:c>
      <x:c r="I595" s="58" t="n">
        <x:f>AVERAGE(E587:E594)</x:f>
        <x:v>0</x:v>
      </x:c>
      <x:c r="J595" s="58" t="str">
        <x:f>IF(G595="","",ABS(E595-G595))</x:f>
      </x:c>
      <x:c r="K595" s="58" t="str">
        <x:f>IF(H595="","",ABS(E595-H595))</x:f>
      </x:c>
      <x:c r="L595" s="58" t="str">
        <x:f>IF(I595="","",ABS(E595-I595))</x:f>
      </x:c>
      <x:c r="M595" s="23" t="str">
        <x:f>IF(B595&gt;44,"Validation","Training")</x:f>
        <x:v>Training</x:v>
      </x:c>
      <x:c r="N595" s="61" t="str">
        <x:f>IF(OR(H595="",E595=0),"",K595/E595)</x:f>
      </x:c>
    </x:row>
    <x:row r="596">
      <x:c r="A596" s="28" t="n">
        <x:v>40651</x:v>
      </x:c>
      <x:c r="B596" s="23" t="n">
        <x:v>20</x:v>
      </x:c>
      <x:c r="C596" s="23" t="str">
        <x:v>23298</x:v>
      </x:c>
      <x:c r="D596" s="23" t="str">
        <x:v>SPOTTY BUNTING</x:v>
      </x:c>
      <x:c r="E596" s="34" t="n">
        <x:v>0</x:v>
      </x:c>
      <x:c r="F596" s="55" t="n">
        <x:v>0</x:v>
      </x:c>
      <x:c r="G596" s="58" t="n">
        <x:f>E595</x:f>
        <x:v>0</x:v>
      </x:c>
      <x:c r="H596" s="58" t="n">
        <x:f>AVERAGE(E592:E595)</x:f>
        <x:v>0</x:v>
      </x:c>
      <x:c r="I596" s="58" t="n">
        <x:f>AVERAGE(E588:E595)</x:f>
        <x:v>0</x:v>
      </x:c>
      <x:c r="J596" s="58" t="str">
        <x:f>IF(G596="","",ABS(E596-G596))</x:f>
      </x:c>
      <x:c r="K596" s="58" t="str">
        <x:f>IF(H596="","",ABS(E596-H596))</x:f>
      </x:c>
      <x:c r="L596" s="58" t="str">
        <x:f>IF(I596="","",ABS(E596-I596))</x:f>
      </x:c>
      <x:c r="M596" s="23" t="str">
        <x:f>IF(B596&gt;44,"Validation","Training")</x:f>
        <x:v>Training</x:v>
      </x:c>
      <x:c r="N596" s="61" t="str">
        <x:f>IF(OR(H596="",E596=0),"",K596/E596)</x:f>
      </x:c>
    </x:row>
    <x:row r="597">
      <x:c r="A597" s="28" t="n">
        <x:v>40658</x:v>
      </x:c>
      <x:c r="B597" s="23" t="n">
        <x:v>21</x:v>
      </x:c>
      <x:c r="C597" s="23" t="str">
        <x:v>23298</x:v>
      </x:c>
      <x:c r="D597" s="23" t="str">
        <x:v>SPOTTY BUNTING</x:v>
      </x:c>
      <x:c r="E597" s="34" t="n">
        <x:v>0</x:v>
      </x:c>
      <x:c r="F597" s="55" t="n">
        <x:v>0</x:v>
      </x:c>
      <x:c r="G597" s="58" t="n">
        <x:f>E596</x:f>
        <x:v>0</x:v>
      </x:c>
      <x:c r="H597" s="58" t="n">
        <x:f>AVERAGE(E593:E596)</x:f>
        <x:v>0</x:v>
      </x:c>
      <x:c r="I597" s="58" t="n">
        <x:f>AVERAGE(E589:E596)</x:f>
        <x:v>0</x:v>
      </x:c>
      <x:c r="J597" s="58" t="str">
        <x:f>IF(G597="","",ABS(E597-G597))</x:f>
      </x:c>
      <x:c r="K597" s="58" t="str">
        <x:f>IF(H597="","",ABS(E597-H597))</x:f>
      </x:c>
      <x:c r="L597" s="58" t="str">
        <x:f>IF(I597="","",ABS(E597-I597))</x:f>
      </x:c>
      <x:c r="M597" s="23" t="str">
        <x:f>IF(B597&gt;44,"Validation","Training")</x:f>
        <x:v>Training</x:v>
      </x:c>
      <x:c r="N597" s="61" t="str">
        <x:f>IF(OR(H597="",E597=0),"",K597/E597)</x:f>
      </x:c>
    </x:row>
    <x:row r="598">
      <x:c r="A598" s="28" t="n">
        <x:v>40665</x:v>
      </x:c>
      <x:c r="B598" s="23" t="n">
        <x:v>22</x:v>
      </x:c>
      <x:c r="C598" s="23" t="str">
        <x:v>23298</x:v>
      </x:c>
      <x:c r="D598" s="23" t="str">
        <x:v>SPOTTY BUNTING</x:v>
      </x:c>
      <x:c r="E598" s="34" t="n">
        <x:v>378</x:v>
      </x:c>
      <x:c r="F598" s="55" t="n">
        <x:v>1663.1</x:v>
      </x:c>
      <x:c r="G598" s="58" t="n">
        <x:f>E597</x:f>
        <x:v>0</x:v>
      </x:c>
      <x:c r="H598" s="58" t="n">
        <x:f>AVERAGE(E594:E597)</x:f>
        <x:v>0</x:v>
      </x:c>
      <x:c r="I598" s="58" t="n">
        <x:f>AVERAGE(E590:E597)</x:f>
        <x:v>0</x:v>
      </x:c>
      <x:c r="J598" s="58" t="str">
        <x:f>IF(G598="","",ABS(E598-G598))</x:f>
      </x:c>
      <x:c r="K598" s="58" t="str">
        <x:f>IF(H598="","",ABS(E598-H598))</x:f>
      </x:c>
      <x:c r="L598" s="58" t="str">
        <x:f>IF(I598="","",ABS(E598-I598))</x:f>
      </x:c>
      <x:c r="M598" s="23" t="str">
        <x:f>IF(B598&gt;44,"Validation","Training")</x:f>
        <x:v>Training</x:v>
      </x:c>
      <x:c r="N598" s="61" t="str">
        <x:f>IF(OR(H598="",E598=0),"",K598/E598)</x:f>
      </x:c>
    </x:row>
    <x:row r="599">
      <x:c r="A599" s="28" t="n">
        <x:v>40672</x:v>
      </x:c>
      <x:c r="B599" s="23" t="n">
        <x:v>23</x:v>
      </x:c>
      <x:c r="C599" s="23" t="str">
        <x:v>23298</x:v>
      </x:c>
      <x:c r="D599" s="23" t="str">
        <x:v>SPOTTY BUNTING</x:v>
      </x:c>
      <x:c r="E599" s="34" t="n">
        <x:v>464</x:v>
      </x:c>
      <x:c r="F599" s="55" t="n">
        <x:v>2223.52</x:v>
      </x:c>
      <x:c r="G599" s="58" t="n">
        <x:f>E598</x:f>
        <x:v>378</x:v>
      </x:c>
      <x:c r="H599" s="58" t="n">
        <x:f>AVERAGE(E595:E598)</x:f>
        <x:v>94.5</x:v>
      </x:c>
      <x:c r="I599" s="58" t="n">
        <x:f>AVERAGE(E591:E598)</x:f>
        <x:v>47.25</x:v>
      </x:c>
      <x:c r="J599" s="58" t="n">
        <x:f>IF(G599="","",ABS(E599-G599))</x:f>
        <x:v>86</x:v>
      </x:c>
      <x:c r="K599" s="58" t="n">
        <x:f>IF(H599="","",ABS(E599-H599))</x:f>
        <x:v>369.5</x:v>
      </x:c>
      <x:c r="L599" s="58" t="n">
        <x:f>IF(I599="","",ABS(E599-I599))</x:f>
        <x:v>416.75</x:v>
      </x:c>
      <x:c r="M599" s="23" t="str">
        <x:f>IF(B599&gt;44,"Validation","Training")</x:f>
        <x:v>Training</x:v>
      </x:c>
      <x:c r="N599" s="61" t="n">
        <x:f>IF(OR(H599="",E599=0),"",K599/E599)</x:f>
        <x:v>0.7963362068965517</x:v>
      </x:c>
    </x:row>
    <x:row r="600">
      <x:c r="A600" s="28" t="n">
        <x:v>40679</x:v>
      </x:c>
      <x:c r="B600" s="23" t="n">
        <x:v>24</x:v>
      </x:c>
      <x:c r="C600" s="23" t="str">
        <x:v>23298</x:v>
      </x:c>
      <x:c r="D600" s="23" t="str">
        <x:v>SPOTTY BUNTING</x:v>
      </x:c>
      <x:c r="E600" s="34" t="n">
        <x:v>602</x:v>
      </x:c>
      <x:c r="F600" s="55" t="n">
        <x:v>2814.94</x:v>
      </x:c>
      <x:c r="G600" s="58" t="n">
        <x:f>E599</x:f>
        <x:v>464</x:v>
      </x:c>
      <x:c r="H600" s="58" t="n">
        <x:f>AVERAGE(E596:E599)</x:f>
        <x:v>210.5</x:v>
      </x:c>
      <x:c r="I600" s="58" t="n">
        <x:f>AVERAGE(E592:E599)</x:f>
        <x:v>105.25</x:v>
      </x:c>
      <x:c r="J600" s="58" t="n">
        <x:f>IF(G600="","",ABS(E600-G600))</x:f>
        <x:v>138</x:v>
      </x:c>
      <x:c r="K600" s="58" t="n">
        <x:f>IF(H600="","",ABS(E600-H600))</x:f>
        <x:v>391.5</x:v>
      </x:c>
      <x:c r="L600" s="58" t="n">
        <x:f>IF(I600="","",ABS(E600-I600))</x:f>
        <x:v>496.75</x:v>
      </x:c>
      <x:c r="M600" s="23" t="str">
        <x:f>IF(B600&gt;44,"Validation","Training")</x:f>
        <x:v>Training</x:v>
      </x:c>
      <x:c r="N600" s="61" t="n">
        <x:f>IF(OR(H600="",E600=0),"",K600/E600)</x:f>
        <x:v>0.6503322259136213</x:v>
      </x:c>
    </x:row>
    <x:row r="601">
      <x:c r="A601" s="28" t="n">
        <x:v>40686</x:v>
      </x:c>
      <x:c r="B601" s="23" t="n">
        <x:v>25</x:v>
      </x:c>
      <x:c r="C601" s="23" t="str">
        <x:v>23298</x:v>
      </x:c>
      <x:c r="D601" s="23" t="str">
        <x:v>SPOTTY BUNTING</x:v>
      </x:c>
      <x:c r="E601" s="34" t="n">
        <x:v>220</x:v>
      </x:c>
      <x:c r="F601" s="55" t="n">
        <x:v>1159.08</x:v>
      </x:c>
      <x:c r="G601" s="58" t="n">
        <x:f>E600</x:f>
        <x:v>602</x:v>
      </x:c>
      <x:c r="H601" s="58" t="n">
        <x:f>AVERAGE(E597:E600)</x:f>
        <x:v>361</x:v>
      </x:c>
      <x:c r="I601" s="58" t="n">
        <x:f>AVERAGE(E593:E600)</x:f>
        <x:v>180.5</x:v>
      </x:c>
      <x:c r="J601" s="58" t="n">
        <x:f>IF(G601="","",ABS(E601-G601))</x:f>
        <x:v>382</x:v>
      </x:c>
      <x:c r="K601" s="58" t="n">
        <x:f>IF(H601="","",ABS(E601-H601))</x:f>
        <x:v>141</x:v>
      </x:c>
      <x:c r="L601" s="58" t="n">
        <x:f>IF(I601="","",ABS(E601-I601))</x:f>
        <x:v>39.5</x:v>
      </x:c>
      <x:c r="M601" s="23" t="str">
        <x:f>IF(B601&gt;44,"Validation","Training")</x:f>
        <x:v>Training</x:v>
      </x:c>
      <x:c r="N601" s="61" t="n">
        <x:f>IF(OR(H601="",E601=0),"",K601/E601)</x:f>
        <x:v>0.6409090909090909</x:v>
      </x:c>
    </x:row>
    <x:row r="602">
      <x:c r="A602" s="28" t="n">
        <x:v>40693</x:v>
      </x:c>
      <x:c r="B602" s="23" t="n">
        <x:v>26</x:v>
      </x:c>
      <x:c r="C602" s="23" t="str">
        <x:v>23298</x:v>
      </x:c>
      <x:c r="D602" s="23" t="str">
        <x:v>SPOTTY BUNTING</x:v>
      </x:c>
      <x:c r="E602" s="34" t="n">
        <x:v>273</x:v>
      </x:c>
      <x:c r="F602" s="55" t="n">
        <x:v>1341.43</x:v>
      </x:c>
      <x:c r="G602" s="58" t="n">
        <x:f>E601</x:f>
        <x:v>220</x:v>
      </x:c>
      <x:c r="H602" s="58" t="n">
        <x:f>AVERAGE(E598:E601)</x:f>
        <x:v>416</x:v>
      </x:c>
      <x:c r="I602" s="58" t="n">
        <x:f>AVERAGE(E594:E601)</x:f>
        <x:v>208</x:v>
      </x:c>
      <x:c r="J602" s="58" t="n">
        <x:f>IF(G602="","",ABS(E602-G602))</x:f>
        <x:v>53</x:v>
      </x:c>
      <x:c r="K602" s="58" t="n">
        <x:f>IF(H602="","",ABS(E602-H602))</x:f>
        <x:v>143</x:v>
      </x:c>
      <x:c r="L602" s="58" t="n">
        <x:f>IF(I602="","",ABS(E602-I602))</x:f>
        <x:v>65</x:v>
      </x:c>
      <x:c r="M602" s="23" t="str">
        <x:f>IF(B602&gt;44,"Validation","Training")</x:f>
        <x:v>Training</x:v>
      </x:c>
      <x:c r="N602" s="61" t="n">
        <x:f>IF(OR(H602="",E602=0),"",K602/E602)</x:f>
        <x:v>0.5238095238095238</x:v>
      </x:c>
    </x:row>
    <x:row r="603">
      <x:c r="A603" s="28" t="n">
        <x:v>40700</x:v>
      </x:c>
      <x:c r="B603" s="23" t="n">
        <x:v>27</x:v>
      </x:c>
      <x:c r="C603" s="23" t="str">
        <x:v>23298</x:v>
      </x:c>
      <x:c r="D603" s="23" t="str">
        <x:v>SPOTTY BUNTING</x:v>
      </x:c>
      <x:c r="E603" s="34" t="n">
        <x:v>310</x:v>
      </x:c>
      <x:c r="F603" s="55" t="n">
        <x:v>1634.66</x:v>
      </x:c>
      <x:c r="G603" s="58" t="n">
        <x:f>E602</x:f>
        <x:v>273</x:v>
      </x:c>
      <x:c r="H603" s="58" t="n">
        <x:f>AVERAGE(E599:E602)</x:f>
        <x:v>389.75</x:v>
      </x:c>
      <x:c r="I603" s="58" t="n">
        <x:f>AVERAGE(E595:E602)</x:f>
        <x:v>242.125</x:v>
      </x:c>
      <x:c r="J603" s="58" t="n">
        <x:f>IF(G603="","",ABS(E603-G603))</x:f>
        <x:v>37</x:v>
      </x:c>
      <x:c r="K603" s="58" t="n">
        <x:f>IF(H603="","",ABS(E603-H603))</x:f>
        <x:v>79.75</x:v>
      </x:c>
      <x:c r="L603" s="58" t="n">
        <x:f>IF(I603="","",ABS(E603-I603))</x:f>
        <x:v>67.875</x:v>
      </x:c>
      <x:c r="M603" s="23" t="str">
        <x:f>IF(B603&gt;44,"Validation","Training")</x:f>
        <x:v>Training</x:v>
      </x:c>
      <x:c r="N603" s="61" t="n">
        <x:f>IF(OR(H603="",E603=0),"",K603/E603)</x:f>
        <x:v>0.25725806451612904</x:v>
      </x:c>
    </x:row>
    <x:row r="604">
      <x:c r="A604" s="28" t="n">
        <x:v>40707</x:v>
      </x:c>
      <x:c r="B604" s="23" t="n">
        <x:v>28</x:v>
      </x:c>
      <x:c r="C604" s="23" t="str">
        <x:v>23298</x:v>
      </x:c>
      <x:c r="D604" s="23" t="str">
        <x:v>SPOTTY BUNTING</x:v>
      </x:c>
      <x:c r="E604" s="34" t="n">
        <x:v>328</x:v>
      </x:c>
      <x:c r="F604" s="55" t="n">
        <x:v>1789.92</x:v>
      </x:c>
      <x:c r="G604" s="58" t="n">
        <x:f>E603</x:f>
        <x:v>310</x:v>
      </x:c>
      <x:c r="H604" s="58" t="n">
        <x:f>AVERAGE(E600:E603)</x:f>
        <x:v>351.25</x:v>
      </x:c>
      <x:c r="I604" s="58" t="n">
        <x:f>AVERAGE(E596:E603)</x:f>
        <x:v>280.875</x:v>
      </x:c>
      <x:c r="J604" s="58" t="n">
        <x:f>IF(G604="","",ABS(E604-G604))</x:f>
        <x:v>18</x:v>
      </x:c>
      <x:c r="K604" s="58" t="n">
        <x:f>IF(H604="","",ABS(E604-H604))</x:f>
        <x:v>23.25</x:v>
      </x:c>
      <x:c r="L604" s="58" t="n">
        <x:f>IF(I604="","",ABS(E604-I604))</x:f>
        <x:v>47.125</x:v>
      </x:c>
      <x:c r="M604" s="23" t="str">
        <x:f>IF(B604&gt;44,"Validation","Training")</x:f>
        <x:v>Training</x:v>
      </x:c>
      <x:c r="N604" s="61" t="n">
        <x:f>IF(OR(H604="",E604=0),"",K604/E604)</x:f>
        <x:v>0.07088414634146341</x:v>
      </x:c>
    </x:row>
    <x:row r="605">
      <x:c r="A605" s="28" t="n">
        <x:v>40714</x:v>
      </x:c>
      <x:c r="B605" s="23" t="n">
        <x:v>29</x:v>
      </x:c>
      <x:c r="C605" s="23" t="str">
        <x:v>23298</x:v>
      </x:c>
      <x:c r="D605" s="23" t="str">
        <x:v>SPOTTY BUNTING</x:v>
      </x:c>
      <x:c r="E605" s="34" t="n">
        <x:v>220</x:v>
      </x:c>
      <x:c r="F605" s="55" t="n">
        <x:v>1142.44</x:v>
      </x:c>
      <x:c r="G605" s="58" t="n">
        <x:f>E604</x:f>
        <x:v>328</x:v>
      </x:c>
      <x:c r="H605" s="58" t="n">
        <x:f>AVERAGE(E601:E604)</x:f>
        <x:v>282.75</x:v>
      </x:c>
      <x:c r="I605" s="58" t="n">
        <x:f>AVERAGE(E597:E604)</x:f>
        <x:v>321.875</x:v>
      </x:c>
      <x:c r="J605" s="58" t="n">
        <x:f>IF(G605="","",ABS(E605-G605))</x:f>
        <x:v>108</x:v>
      </x:c>
      <x:c r="K605" s="58" t="n">
        <x:f>IF(H605="","",ABS(E605-H605))</x:f>
        <x:v>62.75</x:v>
      </x:c>
      <x:c r="L605" s="58" t="n">
        <x:f>IF(I605="","",ABS(E605-I605))</x:f>
        <x:v>101.875</x:v>
      </x:c>
      <x:c r="M605" s="23" t="str">
        <x:f>IF(B605&gt;44,"Validation","Training")</x:f>
        <x:v>Training</x:v>
      </x:c>
      <x:c r="N605" s="61" t="n">
        <x:f>IF(OR(H605="",E605=0),"",K605/E605)</x:f>
        <x:v>0.2852272727272727</x:v>
      </x:c>
    </x:row>
    <x:row r="606">
      <x:c r="A606" s="28" t="n">
        <x:v>40721</x:v>
      </x:c>
      <x:c r="B606" s="23" t="n">
        <x:v>30</x:v>
      </x:c>
      <x:c r="C606" s="23" t="str">
        <x:v>23298</x:v>
      </x:c>
      <x:c r="D606" s="23" t="str">
        <x:v>SPOTTY BUNTING</x:v>
      </x:c>
      <x:c r="E606" s="34" t="n">
        <x:v>195</x:v>
      </x:c>
      <x:c r="F606" s="55" t="n">
        <x:v>1105.41</x:v>
      </x:c>
      <x:c r="G606" s="58" t="n">
        <x:f>E605</x:f>
        <x:v>220</x:v>
      </x:c>
      <x:c r="H606" s="58" t="n">
        <x:f>AVERAGE(E602:E605)</x:f>
        <x:v>282.75</x:v>
      </x:c>
      <x:c r="I606" s="58" t="n">
        <x:f>AVERAGE(E598:E605)</x:f>
        <x:v>349.375</x:v>
      </x:c>
      <x:c r="J606" s="58" t="n">
        <x:f>IF(G606="","",ABS(E606-G606))</x:f>
        <x:v>25</x:v>
      </x:c>
      <x:c r="K606" s="58" t="n">
        <x:f>IF(H606="","",ABS(E606-H606))</x:f>
        <x:v>87.75</x:v>
      </x:c>
      <x:c r="L606" s="58" t="n">
        <x:f>IF(I606="","",ABS(E606-I606))</x:f>
        <x:v>154.375</x:v>
      </x:c>
      <x:c r="M606" s="23" t="str">
        <x:f>IF(B606&gt;44,"Validation","Training")</x:f>
        <x:v>Training</x:v>
      </x:c>
      <x:c r="N606" s="61" t="n">
        <x:f>IF(OR(H606="",E606=0),"",K606/E606)</x:f>
        <x:v>0.45</x:v>
      </x:c>
    </x:row>
    <x:row r="607">
      <x:c r="A607" s="28" t="n">
        <x:v>40728</x:v>
      </x:c>
      <x:c r="B607" s="23" t="n">
        <x:v>31</x:v>
      </x:c>
      <x:c r="C607" s="23" t="str">
        <x:v>23298</x:v>
      </x:c>
      <x:c r="D607" s="23" t="str">
        <x:v>SPOTTY BUNTING</x:v>
      </x:c>
      <x:c r="E607" s="34" t="n">
        <x:v>383</x:v>
      </x:c>
      <x:c r="F607" s="55" t="n">
        <x:v>2108.73</x:v>
      </x:c>
      <x:c r="G607" s="58" t="n">
        <x:f>E606</x:f>
        <x:v>195</x:v>
      </x:c>
      <x:c r="H607" s="58" t="n">
        <x:f>AVERAGE(E603:E606)</x:f>
        <x:v>263.25</x:v>
      </x:c>
      <x:c r="I607" s="58" t="n">
        <x:f>AVERAGE(E599:E606)</x:f>
        <x:v>326.5</x:v>
      </x:c>
      <x:c r="J607" s="58" t="n">
        <x:f>IF(G607="","",ABS(E607-G607))</x:f>
        <x:v>188</x:v>
      </x:c>
      <x:c r="K607" s="58" t="n">
        <x:f>IF(H607="","",ABS(E607-H607))</x:f>
        <x:v>119.75</x:v>
      </x:c>
      <x:c r="L607" s="58" t="n">
        <x:f>IF(I607="","",ABS(E607-I607))</x:f>
        <x:v>56.5</x:v>
      </x:c>
      <x:c r="M607" s="23" t="str">
        <x:f>IF(B607&gt;44,"Validation","Training")</x:f>
        <x:v>Training</x:v>
      </x:c>
      <x:c r="N607" s="61" t="n">
        <x:f>IF(OR(H607="",E607=0),"",K607/E607)</x:f>
        <x:v>0.31266318537859006</x:v>
      </x:c>
    </x:row>
    <x:row r="608">
      <x:c r="A608" s="28" t="n">
        <x:v>40735</x:v>
      </x:c>
      <x:c r="B608" s="23" t="n">
        <x:v>32</x:v>
      </x:c>
      <x:c r="C608" s="23" t="str">
        <x:v>23298</x:v>
      </x:c>
      <x:c r="D608" s="23" t="str">
        <x:v>SPOTTY BUNTING</x:v>
      </x:c>
      <x:c r="E608" s="34" t="n">
        <x:v>229</x:v>
      </x:c>
      <x:c r="F608" s="55" t="n">
        <x:v>1105.23</x:v>
      </x:c>
      <x:c r="G608" s="58" t="n">
        <x:f>E607</x:f>
        <x:v>383</x:v>
      </x:c>
      <x:c r="H608" s="58" t="n">
        <x:f>AVERAGE(E604:E607)</x:f>
        <x:v>281.5</x:v>
      </x:c>
      <x:c r="I608" s="58" t="n">
        <x:f>AVERAGE(E600:E607)</x:f>
        <x:v>316.375</x:v>
      </x:c>
      <x:c r="J608" s="58" t="n">
        <x:f>IF(G608="","",ABS(E608-G608))</x:f>
        <x:v>154</x:v>
      </x:c>
      <x:c r="K608" s="58" t="n">
        <x:f>IF(H608="","",ABS(E608-H608))</x:f>
        <x:v>52.5</x:v>
      </x:c>
      <x:c r="L608" s="58" t="n">
        <x:f>IF(I608="","",ABS(E608-I608))</x:f>
        <x:v>87.375</x:v>
      </x:c>
      <x:c r="M608" s="23" t="str">
        <x:f>IF(B608&gt;44,"Validation","Training")</x:f>
        <x:v>Training</x:v>
      </x:c>
      <x:c r="N608" s="61" t="n">
        <x:f>IF(OR(H608="",E608=0),"",K608/E608)</x:f>
        <x:v>0.2292576419213974</x:v>
      </x:c>
    </x:row>
    <x:row r="609">
      <x:c r="A609" s="28" t="n">
        <x:v>40742</x:v>
      </x:c>
      <x:c r="B609" s="23" t="n">
        <x:v>33</x:v>
      </x:c>
      <x:c r="C609" s="23" t="str">
        <x:v>23298</x:v>
      </x:c>
      <x:c r="D609" s="23" t="str">
        <x:v>SPOTTY BUNTING</x:v>
      </x:c>
      <x:c r="E609" s="34" t="n">
        <x:v>662</x:v>
      </x:c>
      <x:c r="F609" s="55" t="n">
        <x:v>2962.1</x:v>
      </x:c>
      <x:c r="G609" s="58" t="n">
        <x:f>E608</x:f>
        <x:v>229</x:v>
      </x:c>
      <x:c r="H609" s="58" t="n">
        <x:f>AVERAGE(E605:E608)</x:f>
        <x:v>256.75</x:v>
      </x:c>
      <x:c r="I609" s="58" t="n">
        <x:f>AVERAGE(E601:E608)</x:f>
        <x:v>269.75</x:v>
      </x:c>
      <x:c r="J609" s="58" t="n">
        <x:f>IF(G609="","",ABS(E609-G609))</x:f>
        <x:v>433</x:v>
      </x:c>
      <x:c r="K609" s="58" t="n">
        <x:f>IF(H609="","",ABS(E609-H609))</x:f>
        <x:v>405.25</x:v>
      </x:c>
      <x:c r="L609" s="58" t="n">
        <x:f>IF(I609="","",ABS(E609-I609))</x:f>
        <x:v>392.25</x:v>
      </x:c>
      <x:c r="M609" s="23" t="str">
        <x:f>IF(B609&gt;44,"Validation","Training")</x:f>
        <x:v>Training</x:v>
      </x:c>
      <x:c r="N609" s="61" t="n">
        <x:f>IF(OR(H609="",E609=0),"",K609/E609)</x:f>
        <x:v>0.6121601208459214</x:v>
      </x:c>
    </x:row>
    <x:row r="610">
      <x:c r="A610" s="28" t="n">
        <x:v>40749</x:v>
      </x:c>
      <x:c r="B610" s="23" t="n">
        <x:v>34</x:v>
      </x:c>
      <x:c r="C610" s="23" t="str">
        <x:v>23298</x:v>
      </x:c>
      <x:c r="D610" s="23" t="str">
        <x:v>SPOTTY BUNTING</x:v>
      </x:c>
      <x:c r="E610" s="34" t="n">
        <x:v>161</x:v>
      </x:c>
      <x:c r="F610" s="55" t="n">
        <x:v>807.99</x:v>
      </x:c>
      <x:c r="G610" s="58" t="n">
        <x:f>E609</x:f>
        <x:v>662</x:v>
      </x:c>
      <x:c r="H610" s="58" t="n">
        <x:f>AVERAGE(E606:E609)</x:f>
        <x:v>367.25</x:v>
      </x:c>
      <x:c r="I610" s="58" t="n">
        <x:f>AVERAGE(E602:E609)</x:f>
        <x:v>325</x:v>
      </x:c>
      <x:c r="J610" s="58" t="n">
        <x:f>IF(G610="","",ABS(E610-G610))</x:f>
        <x:v>501</x:v>
      </x:c>
      <x:c r="K610" s="58" t="n">
        <x:f>IF(H610="","",ABS(E610-H610))</x:f>
        <x:v>206.25</x:v>
      </x:c>
      <x:c r="L610" s="58" t="n">
        <x:f>IF(I610="","",ABS(E610-I610))</x:f>
        <x:v>164</x:v>
      </x:c>
      <x:c r="M610" s="23" t="str">
        <x:f>IF(B610&gt;44,"Validation","Training")</x:f>
        <x:v>Training</x:v>
      </x:c>
      <x:c r="N610" s="61" t="n">
        <x:f>IF(OR(H610="",E610=0),"",K610/E610)</x:f>
        <x:v>1.281055900621118</x:v>
      </x:c>
    </x:row>
    <x:row r="611">
      <x:c r="A611" s="28" t="n">
        <x:v>40756</x:v>
      </x:c>
      <x:c r="B611" s="23" t="n">
        <x:v>35</x:v>
      </x:c>
      <x:c r="C611" s="23" t="str">
        <x:v>23298</x:v>
      </x:c>
      <x:c r="D611" s="23" t="str">
        <x:v>SPOTTY BUNTING</x:v>
      </x:c>
      <x:c r="E611" s="34" t="n">
        <x:v>251</x:v>
      </x:c>
      <x:c r="F611" s="55" t="n">
        <x:v>1249.17</x:v>
      </x:c>
      <x:c r="G611" s="58" t="n">
        <x:f>E610</x:f>
        <x:v>161</x:v>
      </x:c>
      <x:c r="H611" s="58" t="n">
        <x:f>AVERAGE(E607:E610)</x:f>
        <x:v>358.75</x:v>
      </x:c>
      <x:c r="I611" s="58" t="n">
        <x:f>AVERAGE(E603:E610)</x:f>
        <x:v>311</x:v>
      </x:c>
      <x:c r="J611" s="58" t="n">
        <x:f>IF(G611="","",ABS(E611-G611))</x:f>
        <x:v>90</x:v>
      </x:c>
      <x:c r="K611" s="58" t="n">
        <x:f>IF(H611="","",ABS(E611-H611))</x:f>
        <x:v>107.75</x:v>
      </x:c>
      <x:c r="L611" s="58" t="n">
        <x:f>IF(I611="","",ABS(E611-I611))</x:f>
        <x:v>60</x:v>
      </x:c>
      <x:c r="M611" s="23" t="str">
        <x:f>IF(B611&gt;44,"Validation","Training")</x:f>
        <x:v>Training</x:v>
      </x:c>
      <x:c r="N611" s="61" t="n">
        <x:f>IF(OR(H611="",E611=0),"",K611/E611)</x:f>
        <x:v>0.4292828685258964</x:v>
      </x:c>
    </x:row>
    <x:row r="612">
      <x:c r="A612" s="28" t="n">
        <x:v>40763</x:v>
      </x:c>
      <x:c r="B612" s="23" t="n">
        <x:v>36</x:v>
      </x:c>
      <x:c r="C612" s="23" t="str">
        <x:v>23298</x:v>
      </x:c>
      <x:c r="D612" s="23" t="str">
        <x:v>SPOTTY BUNTING</x:v>
      </x:c>
      <x:c r="E612" s="34" t="n">
        <x:v>249</x:v>
      </x:c>
      <x:c r="F612" s="55" t="n">
        <x:v>1351.11</x:v>
      </x:c>
      <x:c r="G612" s="58" t="n">
        <x:f>E611</x:f>
        <x:v>251</x:v>
      </x:c>
      <x:c r="H612" s="58" t="n">
        <x:f>AVERAGE(E608:E611)</x:f>
        <x:v>325.75</x:v>
      </x:c>
      <x:c r="I612" s="58" t="n">
        <x:f>AVERAGE(E604:E611)</x:f>
        <x:v>303.625</x:v>
      </x:c>
      <x:c r="J612" s="58" t="n">
        <x:f>IF(G612="","",ABS(E612-G612))</x:f>
        <x:v>2</x:v>
      </x:c>
      <x:c r="K612" s="58" t="n">
        <x:f>IF(H612="","",ABS(E612-H612))</x:f>
        <x:v>76.75</x:v>
      </x:c>
      <x:c r="L612" s="58" t="n">
        <x:f>IF(I612="","",ABS(E612-I612))</x:f>
        <x:v>54.625</x:v>
      </x:c>
      <x:c r="M612" s="23" t="str">
        <x:f>IF(B612&gt;44,"Validation","Training")</x:f>
        <x:v>Training</x:v>
      </x:c>
      <x:c r="N612" s="61" t="n">
        <x:f>IF(OR(H612="",E612=0),"",K612/E612)</x:f>
        <x:v>0.30823293172690763</x:v>
      </x:c>
    </x:row>
    <x:row r="613">
      <x:c r="A613" s="28" t="n">
        <x:v>40770</x:v>
      </x:c>
      <x:c r="B613" s="23" t="n">
        <x:v>37</x:v>
      </x:c>
      <x:c r="C613" s="23" t="str">
        <x:v>23298</x:v>
      </x:c>
      <x:c r="D613" s="23" t="str">
        <x:v>SPOTTY BUNTING</x:v>
      </x:c>
      <x:c r="E613" s="34" t="n">
        <x:v>539</x:v>
      </x:c>
      <x:c r="F613" s="55" t="n">
        <x:v>2551.85</x:v>
      </x:c>
      <x:c r="G613" s="58" t="n">
        <x:f>E612</x:f>
        <x:v>249</x:v>
      </x:c>
      <x:c r="H613" s="58" t="n">
        <x:f>AVERAGE(E609:E612)</x:f>
        <x:v>330.75</x:v>
      </x:c>
      <x:c r="I613" s="58" t="n">
        <x:f>AVERAGE(E605:E612)</x:f>
        <x:v>293.75</x:v>
      </x:c>
      <x:c r="J613" s="58" t="n">
        <x:f>IF(G613="","",ABS(E613-G613))</x:f>
        <x:v>290</x:v>
      </x:c>
      <x:c r="K613" s="58" t="n">
        <x:f>IF(H613="","",ABS(E613-H613))</x:f>
        <x:v>208.25</x:v>
      </x:c>
      <x:c r="L613" s="58" t="n">
        <x:f>IF(I613="","",ABS(E613-I613))</x:f>
        <x:v>245.25</x:v>
      </x:c>
      <x:c r="M613" s="23" t="str">
        <x:f>IF(B613&gt;44,"Validation","Training")</x:f>
        <x:v>Training</x:v>
      </x:c>
      <x:c r="N613" s="61" t="n">
        <x:f>IF(OR(H613="",E613=0),"",K613/E613)</x:f>
        <x:v>0.38636363636363635</x:v>
      </x:c>
    </x:row>
    <x:row r="614">
      <x:c r="A614" s="28" t="n">
        <x:v>40777</x:v>
      </x:c>
      <x:c r="B614" s="23" t="n">
        <x:v>38</x:v>
      </x:c>
      <x:c r="C614" s="23" t="str">
        <x:v>23298</x:v>
      </x:c>
      <x:c r="D614" s="23" t="str">
        <x:v>SPOTTY BUNTING</x:v>
      </x:c>
      <x:c r="E614" s="34" t="n">
        <x:v>397</x:v>
      </x:c>
      <x:c r="F614" s="55" t="n">
        <x:v>2207.23</x:v>
      </x:c>
      <x:c r="G614" s="58" t="n">
        <x:f>E613</x:f>
        <x:v>539</x:v>
      </x:c>
      <x:c r="H614" s="58" t="n">
        <x:f>AVERAGE(E610:E613)</x:f>
        <x:v>300</x:v>
      </x:c>
      <x:c r="I614" s="58" t="n">
        <x:f>AVERAGE(E606:E613)</x:f>
        <x:v>333.625</x:v>
      </x:c>
      <x:c r="J614" s="58" t="n">
        <x:f>IF(G614="","",ABS(E614-G614))</x:f>
        <x:v>142</x:v>
      </x:c>
      <x:c r="K614" s="58" t="n">
        <x:f>IF(H614="","",ABS(E614-H614))</x:f>
        <x:v>97</x:v>
      </x:c>
      <x:c r="L614" s="58" t="n">
        <x:f>IF(I614="","",ABS(E614-I614))</x:f>
        <x:v>63.375</x:v>
      </x:c>
      <x:c r="M614" s="23" t="str">
        <x:f>IF(B614&gt;44,"Validation","Training")</x:f>
        <x:v>Training</x:v>
      </x:c>
      <x:c r="N614" s="61" t="n">
        <x:f>IF(OR(H614="",E614=0),"",K614/E614)</x:f>
        <x:v>0.24433249370277077</x:v>
      </x:c>
    </x:row>
    <x:row r="615">
      <x:c r="A615" s="28" t="n">
        <x:v>40784</x:v>
      </x:c>
      <x:c r="B615" s="23" t="n">
        <x:v>39</x:v>
      </x:c>
      <x:c r="C615" s="23" t="str">
        <x:v>23298</x:v>
      </x:c>
      <x:c r="D615" s="23" t="str">
        <x:v>SPOTTY BUNTING</x:v>
      </x:c>
      <x:c r="E615" s="34" t="n">
        <x:v>164</x:v>
      </x:c>
      <x:c r="F615" s="55" t="n">
        <x:v>1068.76</x:v>
      </x:c>
      <x:c r="G615" s="58" t="n">
        <x:f>E614</x:f>
        <x:v>397</x:v>
      </x:c>
      <x:c r="H615" s="58" t="n">
        <x:f>AVERAGE(E611:E614)</x:f>
        <x:v>359</x:v>
      </x:c>
      <x:c r="I615" s="58" t="n">
        <x:f>AVERAGE(E607:E614)</x:f>
        <x:v>358.875</x:v>
      </x:c>
      <x:c r="J615" s="58" t="n">
        <x:f>IF(G615="","",ABS(E615-G615))</x:f>
        <x:v>233</x:v>
      </x:c>
      <x:c r="K615" s="58" t="n">
        <x:f>IF(H615="","",ABS(E615-H615))</x:f>
        <x:v>195</x:v>
      </x:c>
      <x:c r="L615" s="58" t="n">
        <x:f>IF(I615="","",ABS(E615-I615))</x:f>
        <x:v>194.875</x:v>
      </x:c>
      <x:c r="M615" s="23" t="str">
        <x:f>IF(B615&gt;44,"Validation","Training")</x:f>
        <x:v>Training</x:v>
      </x:c>
      <x:c r="N615" s="61" t="n">
        <x:f>IF(OR(H615="",E615=0),"",K615/E615)</x:f>
        <x:v>1.1890243902439024</x:v>
      </x:c>
    </x:row>
    <x:row r="616">
      <x:c r="A616" s="28" t="n">
        <x:v>40791</x:v>
      </x:c>
      <x:c r="B616" s="23" t="n">
        <x:v>40</x:v>
      </x:c>
      <x:c r="C616" s="23" t="str">
        <x:v>23298</x:v>
      </x:c>
      <x:c r="D616" s="23" t="str">
        <x:v>SPOTTY BUNTING</x:v>
      </x:c>
      <x:c r="E616" s="34" t="n">
        <x:v>139</x:v>
      </x:c>
      <x:c r="F616" s="55" t="n">
        <x:v>845.73</x:v>
      </x:c>
      <x:c r="G616" s="58" t="n">
        <x:f>E615</x:f>
        <x:v>164</x:v>
      </x:c>
      <x:c r="H616" s="58" t="n">
        <x:f>AVERAGE(E612:E615)</x:f>
        <x:v>337.25</x:v>
      </x:c>
      <x:c r="I616" s="58" t="n">
        <x:f>AVERAGE(E608:E615)</x:f>
        <x:v>331.5</x:v>
      </x:c>
      <x:c r="J616" s="58" t="n">
        <x:f>IF(G616="","",ABS(E616-G616))</x:f>
        <x:v>25</x:v>
      </x:c>
      <x:c r="K616" s="58" t="n">
        <x:f>IF(H616="","",ABS(E616-H616))</x:f>
        <x:v>198.25</x:v>
      </x:c>
      <x:c r="L616" s="58" t="n">
        <x:f>IF(I616="","",ABS(E616-I616))</x:f>
        <x:v>192.5</x:v>
      </x:c>
      <x:c r="M616" s="23" t="str">
        <x:f>IF(B616&gt;44,"Validation","Training")</x:f>
        <x:v>Training</x:v>
      </x:c>
      <x:c r="N616" s="61" t="n">
        <x:f>IF(OR(H616="",E616=0),"",K616/E616)</x:f>
        <x:v>1.4262589928057554</x:v>
      </x:c>
    </x:row>
    <x:row r="617">
      <x:c r="A617" s="28" t="n">
        <x:v>40798</x:v>
      </x:c>
      <x:c r="B617" s="23" t="n">
        <x:v>41</x:v>
      </x:c>
      <x:c r="C617" s="23" t="str">
        <x:v>23298</x:v>
      </x:c>
      <x:c r="D617" s="23" t="str">
        <x:v>SPOTTY BUNTING</x:v>
      </x:c>
      <x:c r="E617" s="34" t="n">
        <x:v>127</x:v>
      </x:c>
      <x:c r="F617" s="55" t="n">
        <x:v>786.33</x:v>
      </x:c>
      <x:c r="G617" s="58" t="n">
        <x:f>E616</x:f>
        <x:v>139</x:v>
      </x:c>
      <x:c r="H617" s="58" t="n">
        <x:f>AVERAGE(E613:E616)</x:f>
        <x:v>309.75</x:v>
      </x:c>
      <x:c r="I617" s="58" t="n">
        <x:f>AVERAGE(E609:E616)</x:f>
        <x:v>320.25</x:v>
      </x:c>
      <x:c r="J617" s="58" t="n">
        <x:f>IF(G617="","",ABS(E617-G617))</x:f>
        <x:v>12</x:v>
      </x:c>
      <x:c r="K617" s="58" t="n">
        <x:f>IF(H617="","",ABS(E617-H617))</x:f>
        <x:v>182.75</x:v>
      </x:c>
      <x:c r="L617" s="58" t="n">
        <x:f>IF(I617="","",ABS(E617-I617))</x:f>
        <x:v>193.25</x:v>
      </x:c>
      <x:c r="M617" s="23" t="str">
        <x:f>IF(B617&gt;44,"Validation","Training")</x:f>
        <x:v>Training</x:v>
      </x:c>
      <x:c r="N617" s="61" t="n">
        <x:f>IF(OR(H617="",E617=0),"",K617/E617)</x:f>
        <x:v>1.438976377952756</x:v>
      </x:c>
    </x:row>
    <x:row r="618">
      <x:c r="A618" s="28" t="n">
        <x:v>40805</x:v>
      </x:c>
      <x:c r="B618" s="23" t="n">
        <x:v>42</x:v>
      </x:c>
      <x:c r="C618" s="23" t="str">
        <x:v>23298</x:v>
      </x:c>
      <x:c r="D618" s="23" t="str">
        <x:v>SPOTTY BUNTING</x:v>
      </x:c>
      <x:c r="E618" s="34" t="n">
        <x:v>314</x:v>
      </x:c>
      <x:c r="F618" s="55" t="n">
        <x:v>1667.66</x:v>
      </x:c>
      <x:c r="G618" s="58" t="n">
        <x:f>E617</x:f>
        <x:v>127</x:v>
      </x:c>
      <x:c r="H618" s="58" t="n">
        <x:f>AVERAGE(E614:E617)</x:f>
        <x:v>206.75</x:v>
      </x:c>
      <x:c r="I618" s="58" t="n">
        <x:f>AVERAGE(E610:E617)</x:f>
        <x:v>253.375</x:v>
      </x:c>
      <x:c r="J618" s="58" t="n">
        <x:f>IF(G618="","",ABS(E618-G618))</x:f>
        <x:v>187</x:v>
      </x:c>
      <x:c r="K618" s="58" t="n">
        <x:f>IF(H618="","",ABS(E618-H618))</x:f>
        <x:v>107.25</x:v>
      </x:c>
      <x:c r="L618" s="58" t="n">
        <x:f>IF(I618="","",ABS(E618-I618))</x:f>
        <x:v>60.625</x:v>
      </x:c>
      <x:c r="M618" s="23" t="str">
        <x:f>IF(B618&gt;44,"Validation","Training")</x:f>
        <x:v>Training</x:v>
      </x:c>
      <x:c r="N618" s="61" t="n">
        <x:f>IF(OR(H618="",E618=0),"",K618/E618)</x:f>
        <x:v>0.34156050955414013</x:v>
      </x:c>
    </x:row>
    <x:row r="619">
      <x:c r="A619" s="28" t="n">
        <x:v>40812</x:v>
      </x:c>
      <x:c r="B619" s="23" t="n">
        <x:v>43</x:v>
      </x:c>
      <x:c r="C619" s="23" t="str">
        <x:v>23298</x:v>
      </x:c>
      <x:c r="D619" s="23" t="str">
        <x:v>SPOTTY BUNTING</x:v>
      </x:c>
      <x:c r="E619" s="34" t="n">
        <x:v>313</x:v>
      </x:c>
      <x:c r="F619" s="55" t="n">
        <x:v>1412.71</x:v>
      </x:c>
      <x:c r="G619" s="58" t="n">
        <x:f>E618</x:f>
        <x:v>314</x:v>
      </x:c>
      <x:c r="H619" s="58" t="n">
        <x:f>AVERAGE(E615:E618)</x:f>
        <x:v>186</x:v>
      </x:c>
      <x:c r="I619" s="58" t="n">
        <x:f>AVERAGE(E611:E618)</x:f>
        <x:v>272.5</x:v>
      </x:c>
      <x:c r="J619" s="58" t="n">
        <x:f>IF(G619="","",ABS(E619-G619))</x:f>
        <x:v>1</x:v>
      </x:c>
      <x:c r="K619" s="58" t="n">
        <x:f>IF(H619="","",ABS(E619-H619))</x:f>
        <x:v>127</x:v>
      </x:c>
      <x:c r="L619" s="58" t="n">
        <x:f>IF(I619="","",ABS(E619-I619))</x:f>
        <x:v>40.5</x:v>
      </x:c>
      <x:c r="M619" s="23" t="str">
        <x:f>IF(B619&gt;44,"Validation","Training")</x:f>
        <x:v>Training</x:v>
      </x:c>
      <x:c r="N619" s="61" t="n">
        <x:f>IF(OR(H619="",E619=0),"",K619/E619)</x:f>
        <x:v>0.4057507987220447</x:v>
      </x:c>
    </x:row>
    <x:row r="620">
      <x:c r="A620" s="28" t="n">
        <x:v>40819</x:v>
      </x:c>
      <x:c r="B620" s="23" t="n">
        <x:v>44</x:v>
      </x:c>
      <x:c r="C620" s="23" t="str">
        <x:v>23298</x:v>
      </x:c>
      <x:c r="D620" s="23" t="str">
        <x:v>SPOTTY BUNTING</x:v>
      </x:c>
      <x:c r="E620" s="34" t="n">
        <x:v>173</x:v>
      </x:c>
      <x:c r="F620" s="55" t="n">
        <x:v>944.83</x:v>
      </x:c>
      <x:c r="G620" s="58" t="n">
        <x:f>E619</x:f>
        <x:v>313</x:v>
      </x:c>
      <x:c r="H620" s="58" t="n">
        <x:f>AVERAGE(E616:E619)</x:f>
        <x:v>223.25</x:v>
      </x:c>
      <x:c r="I620" s="58" t="n">
        <x:f>AVERAGE(E612:E619)</x:f>
        <x:v>280.25</x:v>
      </x:c>
      <x:c r="J620" s="58" t="n">
        <x:f>IF(G620="","",ABS(E620-G620))</x:f>
        <x:v>140</x:v>
      </x:c>
      <x:c r="K620" s="58" t="n">
        <x:f>IF(H620="","",ABS(E620-H620))</x:f>
        <x:v>50.25</x:v>
      </x:c>
      <x:c r="L620" s="58" t="n">
        <x:f>IF(I620="","",ABS(E620-I620))</x:f>
        <x:v>107.25</x:v>
      </x:c>
      <x:c r="M620" s="23" t="str">
        <x:f>IF(B620&gt;44,"Validation","Training")</x:f>
        <x:v>Training</x:v>
      </x:c>
      <x:c r="N620" s="61" t="n">
        <x:f>IF(OR(H620="",E620=0),"",K620/E620)</x:f>
        <x:v>0.2904624277456647</x:v>
      </x:c>
    </x:row>
    <x:row r="621">
      <x:c r="A621" s="28" t="n">
        <x:v>40826</x:v>
      </x:c>
      <x:c r="B621" s="23" t="n">
        <x:v>45</x:v>
      </x:c>
      <x:c r="C621" s="23" t="str">
        <x:v>23298</x:v>
      </x:c>
      <x:c r="D621" s="23" t="str">
        <x:v>SPOTTY BUNTING</x:v>
      </x:c>
      <x:c r="E621" s="34" t="n">
        <x:v>153</x:v>
      </x:c>
      <x:c r="F621" s="55" t="n">
        <x:v>868.31</x:v>
      </x:c>
      <x:c r="G621" s="58" t="n">
        <x:f>E620</x:f>
        <x:v>173</x:v>
      </x:c>
      <x:c r="H621" s="58" t="n">
        <x:f>AVERAGE(E617:E620)</x:f>
        <x:v>231.75</x:v>
      </x:c>
      <x:c r="I621" s="58" t="n">
        <x:f>AVERAGE(E613:E620)</x:f>
        <x:v>270.75</x:v>
      </x:c>
      <x:c r="J621" s="58" t="n">
        <x:f>IF(G621="","",ABS(E621-G621))</x:f>
        <x:v>20</x:v>
      </x:c>
      <x:c r="K621" s="58" t="n">
        <x:f>IF(H621="","",ABS(E621-H621))</x:f>
        <x:v>78.75</x:v>
      </x:c>
      <x:c r="L621" s="58" t="n">
        <x:f>IF(I621="","",ABS(E621-I621))</x:f>
        <x:v>117.75</x:v>
      </x:c>
      <x:c r="M621" s="23" t="str">
        <x:f>IF(B621&gt;44,"Validation","Training")</x:f>
        <x:v>Validation</x:v>
      </x:c>
      <x:c r="N621" s="61" t="n">
        <x:f>IF(OR(H621="",E621=0),"",K621/E621)</x:f>
        <x:v>0.5147058823529411</x:v>
      </x:c>
    </x:row>
    <x:row r="622">
      <x:c r="A622" s="28" t="n">
        <x:v>40833</x:v>
      </x:c>
      <x:c r="B622" s="23" t="n">
        <x:v>46</x:v>
      </x:c>
      <x:c r="C622" s="23" t="str">
        <x:v>23298</x:v>
      </x:c>
      <x:c r="D622" s="23" t="str">
        <x:v>SPOTTY BUNTING</x:v>
      </x:c>
      <x:c r="E622" s="34" t="n">
        <x:v>106</x:v>
      </x:c>
      <x:c r="F622" s="55" t="n">
        <x:v>588.94</x:v>
      </x:c>
      <x:c r="G622" s="58" t="n">
        <x:f>E621</x:f>
        <x:v>153</x:v>
      </x:c>
      <x:c r="H622" s="58" t="n">
        <x:f>AVERAGE(E618:E621)</x:f>
        <x:v>238.25</x:v>
      </x:c>
      <x:c r="I622" s="58" t="n">
        <x:f>AVERAGE(E614:E621)</x:f>
        <x:v>222.5</x:v>
      </x:c>
      <x:c r="J622" s="58" t="n">
        <x:f>IF(G622="","",ABS(E622-G622))</x:f>
        <x:v>47</x:v>
      </x:c>
      <x:c r="K622" s="58" t="n">
        <x:f>IF(H622="","",ABS(E622-H622))</x:f>
        <x:v>132.25</x:v>
      </x:c>
      <x:c r="L622" s="58" t="n">
        <x:f>IF(I622="","",ABS(E622-I622))</x:f>
        <x:v>116.5</x:v>
      </x:c>
      <x:c r="M622" s="23" t="str">
        <x:f>IF(B622&gt;44,"Validation","Training")</x:f>
        <x:v>Validation</x:v>
      </x:c>
      <x:c r="N622" s="61" t="n">
        <x:f>IF(OR(H622="",E622=0),"",K622/E622)</x:f>
        <x:v>1.2476415094339623</x:v>
      </x:c>
    </x:row>
    <x:row r="623">
      <x:c r="A623" s="28" t="n">
        <x:v>40840</x:v>
      </x:c>
      <x:c r="B623" s="23" t="n">
        <x:v>47</x:v>
      </x:c>
      <x:c r="C623" s="23" t="str">
        <x:v>23298</x:v>
      </x:c>
      <x:c r="D623" s="23" t="str">
        <x:v>SPOTTY BUNTING</x:v>
      </x:c>
      <x:c r="E623" s="34" t="n">
        <x:v>89</x:v>
      </x:c>
      <x:c r="F623" s="55" t="n">
        <x:v>498.95</x:v>
      </x:c>
      <x:c r="G623" s="58" t="n">
        <x:f>E622</x:f>
        <x:v>106</x:v>
      </x:c>
      <x:c r="H623" s="58" t="n">
        <x:f>AVERAGE(E619:E622)</x:f>
        <x:v>186.25</x:v>
      </x:c>
      <x:c r="I623" s="58" t="n">
        <x:f>AVERAGE(E615:E622)</x:f>
        <x:v>186.125</x:v>
      </x:c>
      <x:c r="J623" s="58" t="n">
        <x:f>IF(G623="","",ABS(E623-G623))</x:f>
        <x:v>17</x:v>
      </x:c>
      <x:c r="K623" s="58" t="n">
        <x:f>IF(H623="","",ABS(E623-H623))</x:f>
        <x:v>97.25</x:v>
      </x:c>
      <x:c r="L623" s="58" t="n">
        <x:f>IF(I623="","",ABS(E623-I623))</x:f>
        <x:v>97.125</x:v>
      </x:c>
      <x:c r="M623" s="23" t="str">
        <x:f>IF(B623&gt;44,"Validation","Training")</x:f>
        <x:v>Validation</x:v>
      </x:c>
      <x:c r="N623" s="61" t="n">
        <x:f>IF(OR(H623="",E623=0),"",K623/E623)</x:f>
        <x:v>1.0926966292134832</x:v>
      </x:c>
    </x:row>
    <x:row r="624">
      <x:c r="A624" s="28" t="n">
        <x:v>40847</x:v>
      </x:c>
      <x:c r="B624" s="23" t="n">
        <x:v>48</x:v>
      </x:c>
      <x:c r="C624" s="23" t="str">
        <x:v>23298</x:v>
      </x:c>
      <x:c r="D624" s="23" t="str">
        <x:v>SPOTTY BUNTING</x:v>
      </x:c>
      <x:c r="E624" s="34" t="n">
        <x:v>103</x:v>
      </x:c>
      <x:c r="F624" s="55" t="n">
        <x:v>567.93</x:v>
      </x:c>
      <x:c r="G624" s="58" t="n">
        <x:f>E623</x:f>
        <x:v>89</x:v>
      </x:c>
      <x:c r="H624" s="58" t="n">
        <x:f>AVERAGE(E620:E623)</x:f>
        <x:v>130.25</x:v>
      </x:c>
      <x:c r="I624" s="58" t="n">
        <x:f>AVERAGE(E616:E623)</x:f>
        <x:v>176.75</x:v>
      </x:c>
      <x:c r="J624" s="58" t="n">
        <x:f>IF(G624="","",ABS(E624-G624))</x:f>
        <x:v>14</x:v>
      </x:c>
      <x:c r="K624" s="58" t="n">
        <x:f>IF(H624="","",ABS(E624-H624))</x:f>
        <x:v>27.25</x:v>
      </x:c>
      <x:c r="L624" s="58" t="n">
        <x:f>IF(I624="","",ABS(E624-I624))</x:f>
        <x:v>73.75</x:v>
      </x:c>
      <x:c r="M624" s="23" t="str">
        <x:f>IF(B624&gt;44,"Validation","Training")</x:f>
        <x:v>Validation</x:v>
      </x:c>
      <x:c r="N624" s="61" t="n">
        <x:f>IF(OR(H624="",E624=0),"",K624/E624)</x:f>
        <x:v>0.2645631067961165</x:v>
      </x:c>
    </x:row>
    <x:row r="625">
      <x:c r="A625" s="28" t="n">
        <x:v>40854</x:v>
      </x:c>
      <x:c r="B625" s="23" t="n">
        <x:v>49</x:v>
      </x:c>
      <x:c r="C625" s="23" t="str">
        <x:v>23298</x:v>
      </x:c>
      <x:c r="D625" s="23" t="str">
        <x:v>SPOTTY BUNTING</x:v>
      </x:c>
      <x:c r="E625" s="34" t="n">
        <x:v>129</x:v>
      </x:c>
      <x:c r="F625" s="55" t="n">
        <x:v>772.87</x:v>
      </x:c>
      <x:c r="G625" s="58" t="n">
        <x:f>E624</x:f>
        <x:v>103</x:v>
      </x:c>
      <x:c r="H625" s="58" t="n">
        <x:f>AVERAGE(E621:E624)</x:f>
        <x:v>112.75</x:v>
      </x:c>
      <x:c r="I625" s="58" t="n">
        <x:f>AVERAGE(E617:E624)</x:f>
        <x:v>172.25</x:v>
      </x:c>
      <x:c r="J625" s="58" t="n">
        <x:f>IF(G625="","",ABS(E625-G625))</x:f>
        <x:v>26</x:v>
      </x:c>
      <x:c r="K625" s="58" t="n">
        <x:f>IF(H625="","",ABS(E625-H625))</x:f>
        <x:v>16.25</x:v>
      </x:c>
      <x:c r="L625" s="58" t="n">
        <x:f>IF(I625="","",ABS(E625-I625))</x:f>
        <x:v>43.25</x:v>
      </x:c>
      <x:c r="M625" s="23" t="str">
        <x:f>IF(B625&gt;44,"Validation","Training")</x:f>
        <x:v>Validation</x:v>
      </x:c>
      <x:c r="N625" s="61" t="n">
        <x:f>IF(OR(H625="",E625=0),"",K625/E625)</x:f>
        <x:v>0.12596899224806202</x:v>
      </x:c>
    </x:row>
    <x:row r="626">
      <x:c r="A626" s="28" t="n">
        <x:v>40861</x:v>
      </x:c>
      <x:c r="B626" s="23" t="n">
        <x:v>50</x:v>
      </x:c>
      <x:c r="C626" s="23" t="str">
        <x:v>23298</x:v>
      </x:c>
      <x:c r="D626" s="23" t="str">
        <x:v>SPOTTY BUNTING</x:v>
      </x:c>
      <x:c r="E626" s="34" t="n">
        <x:v>136</x:v>
      </x:c>
      <x:c r="F626" s="55" t="n">
        <x:v>732.48</x:v>
      </x:c>
      <x:c r="G626" s="58" t="n">
        <x:f>E625</x:f>
        <x:v>129</x:v>
      </x:c>
      <x:c r="H626" s="58" t="n">
        <x:f>AVERAGE(E622:E625)</x:f>
        <x:v>106.75</x:v>
      </x:c>
      <x:c r="I626" s="58" t="n">
        <x:f>AVERAGE(E618:E625)</x:f>
        <x:v>172.5</x:v>
      </x:c>
      <x:c r="J626" s="58" t="n">
        <x:f>IF(G626="","",ABS(E626-G626))</x:f>
        <x:v>7</x:v>
      </x:c>
      <x:c r="K626" s="58" t="n">
        <x:f>IF(H626="","",ABS(E626-H626))</x:f>
        <x:v>29.25</x:v>
      </x:c>
      <x:c r="L626" s="58" t="n">
        <x:f>IF(I626="","",ABS(E626-I626))</x:f>
        <x:v>36.5</x:v>
      </x:c>
      <x:c r="M626" s="23" t="str">
        <x:f>IF(B626&gt;44,"Validation","Training")</x:f>
        <x:v>Validation</x:v>
      </x:c>
      <x:c r="N626" s="61" t="n">
        <x:f>IF(OR(H626="",E626=0),"",K626/E626)</x:f>
        <x:v>0.21507352941176472</x:v>
      </x:c>
    </x:row>
    <x:row r="627">
      <x:c r="A627" s="28" t="n">
        <x:v>40868</x:v>
      </x:c>
      <x:c r="B627" s="23" t="n">
        <x:v>51</x:v>
      </x:c>
      <x:c r="C627" s="23" t="str">
        <x:v>23298</x:v>
      </x:c>
      <x:c r="D627" s="23" t="str">
        <x:v>SPOTTY BUNTING</x:v>
      </x:c>
      <x:c r="E627" s="34" t="n">
        <x:v>458</x:v>
      </x:c>
      <x:c r="F627" s="55" t="n">
        <x:v>2080.54</x:v>
      </x:c>
      <x:c r="G627" s="58" t="n">
        <x:f>E626</x:f>
        <x:v>136</x:v>
      </x:c>
      <x:c r="H627" s="58" t="n">
        <x:f>AVERAGE(E623:E626)</x:f>
        <x:v>114.25</x:v>
      </x:c>
      <x:c r="I627" s="58" t="n">
        <x:f>AVERAGE(E619:E626)</x:f>
        <x:v>150.25</x:v>
      </x:c>
      <x:c r="J627" s="58" t="n">
        <x:f>IF(G627="","",ABS(E627-G627))</x:f>
        <x:v>322</x:v>
      </x:c>
      <x:c r="K627" s="58" t="n">
        <x:f>IF(H627="","",ABS(E627-H627))</x:f>
        <x:v>343.75</x:v>
      </x:c>
      <x:c r="L627" s="58" t="n">
        <x:f>IF(I627="","",ABS(E627-I627))</x:f>
        <x:v>307.75</x:v>
      </x:c>
      <x:c r="M627" s="23" t="str">
        <x:f>IF(B627&gt;44,"Validation","Training")</x:f>
        <x:v>Validation</x:v>
      </x:c>
      <x:c r="N627" s="61" t="n">
        <x:f>IF(OR(H627="",E627=0),"",K627/E627)</x:f>
        <x:v>0.7505458515283843</x:v>
      </x:c>
    </x:row>
    <x:row r="628">
      <x:c r="A628" s="28" t="n">
        <x:v>40875</x:v>
      </x:c>
      <x:c r="B628" s="23" t="n">
        <x:v>52</x:v>
      </x:c>
      <x:c r="C628" s="23" t="str">
        <x:v>23298</x:v>
      </x:c>
      <x:c r="D628" s="23" t="str">
        <x:v>SPOTTY BUNTING</x:v>
      </x:c>
      <x:c r="E628" s="34" t="n">
        <x:v>112</x:v>
      </x:c>
      <x:c r="F628" s="55" t="n">
        <x:v>583.6</x:v>
      </x:c>
      <x:c r="G628" s="58" t="n">
        <x:f>E627</x:f>
        <x:v>458</x:v>
      </x:c>
      <x:c r="H628" s="58" t="n">
        <x:f>AVERAGE(E624:E627)</x:f>
        <x:v>206.5</x:v>
      </x:c>
      <x:c r="I628" s="58" t="n">
        <x:f>AVERAGE(E620:E627)</x:f>
        <x:v>168.375</x:v>
      </x:c>
      <x:c r="J628" s="58" t="n">
        <x:f>IF(G628="","",ABS(E628-G628))</x:f>
        <x:v>346</x:v>
      </x:c>
      <x:c r="K628" s="58" t="n">
        <x:f>IF(H628="","",ABS(E628-H628))</x:f>
        <x:v>94.5</x:v>
      </x:c>
      <x:c r="L628" s="58" t="n">
        <x:f>IF(I628="","",ABS(E628-I628))</x:f>
        <x:v>56.375</x:v>
      </x:c>
      <x:c r="M628" s="23" t="str">
        <x:f>IF(B628&gt;44,"Validation","Training")</x:f>
        <x:v>Validation</x:v>
      </x:c>
      <x:c r="N628" s="61" t="n">
        <x:f>IF(OR(H628="",E628=0),"",K628/E628)</x:f>
        <x:v>0.84375</x:v>
      </x:c>
    </x:row>
    <x:row r="629">
      <x:c r="A629" s="28" t="n">
        <x:v>40518</x:v>
      </x:c>
      <x:c r="B629" s="23" t="n">
        <x:v>1</x:v>
      </x:c>
      <x:c r="C629" s="23" t="str">
        <x:v>22386</x:v>
      </x:c>
      <x:c r="D629" s="23" t="str">
        <x:v>JUMBO BAG PINK POLKADOT</x:v>
      </x:c>
      <x:c r="E629" s="34" t="n">
        <x:v>270</x:v>
      </x:c>
      <x:c r="F629" s="55" t="n">
        <x:v>512.01</x:v>
      </x:c>
      <x:c r="G629" s="58" t="str">
        <x:f>""</x:f>
      </x:c>
      <x:c r="H629" s="58" t="str">
        <x:f>""</x:f>
      </x:c>
      <x:c r="I629" s="58" t="str">
        <x:f>""</x:f>
      </x:c>
      <x:c r="J629" s="58" t="str">
        <x:f>IF(G629="","",ABS(E629-G629))</x:f>
      </x:c>
      <x:c r="K629" s="58" t="str">
        <x:f>IF(H629="","",ABS(E629-H629))</x:f>
      </x:c>
      <x:c r="L629" s="58" t="str">
        <x:f>IF(I629="","",ABS(E629-I629))</x:f>
      </x:c>
      <x:c r="M629" s="23" t="str">
        <x:f>IF(B629&gt;44,"Validation","Training")</x:f>
        <x:v>Training</x:v>
      </x:c>
      <x:c r="N629" s="61" t="str">
        <x:f>IF(OR(H629="",E629=0),"",K629/E629)</x:f>
      </x:c>
    </x:row>
    <x:row r="630">
      <x:c r="A630" s="28" t="n">
        <x:v>40525</x:v>
      </x:c>
      <x:c r="B630" s="23" t="n">
        <x:v>2</x:v>
      </x:c>
      <x:c r="C630" s="23" t="str">
        <x:v>22386</x:v>
      </x:c>
      <x:c r="D630" s="23" t="str">
        <x:v>JUMBO BAG PINK POLKADOT</x:v>
      </x:c>
      <x:c r="E630" s="34" t="n">
        <x:v>107</x:v>
      </x:c>
      <x:c r="F630" s="55" t="n">
        <x:v>219.95</x:v>
      </x:c>
      <x:c r="G630" s="58" t="n">
        <x:f>E629</x:f>
        <x:v>270</x:v>
      </x:c>
      <x:c r="H630" s="58" t="str">
        <x:f>""</x:f>
      </x:c>
      <x:c r="I630" s="58" t="str">
        <x:f>""</x:f>
      </x:c>
      <x:c r="J630" s="58" t="n">
        <x:f>IF(G630="","",ABS(E630-G630))</x:f>
        <x:v>163</x:v>
      </x:c>
      <x:c r="K630" s="58" t="str">
        <x:f>IF(H630="","",ABS(E630-H630))</x:f>
      </x:c>
      <x:c r="L630" s="58" t="str">
        <x:f>IF(I630="","",ABS(E630-I630))</x:f>
      </x:c>
      <x:c r="M630" s="23" t="str">
        <x:f>IF(B630&gt;44,"Validation","Training")</x:f>
        <x:v>Training</x:v>
      </x:c>
      <x:c r="N630" s="61" t="str">
        <x:f>IF(OR(H630="",E630=0),"",K630/E630)</x:f>
      </x:c>
    </x:row>
    <x:row r="631">
      <x:c r="A631" s="28" t="n">
        <x:v>40532</x:v>
      </x:c>
      <x:c r="B631" s="23" t="n">
        <x:v>3</x:v>
      </x:c>
      <x:c r="C631" s="23" t="str">
        <x:v>22386</x:v>
      </x:c>
      <x:c r="D631" s="23" t="str">
        <x:v>JUMBO BAG PINK POLKADOT</x:v>
      </x:c>
      <x:c r="E631" s="34" t="n">
        <x:v>9</x:v>
      </x:c>
      <x:c r="F631" s="55" t="n">
        <x:v>45.54</x:v>
      </x:c>
      <x:c r="G631" s="58" t="n">
        <x:f>E630</x:f>
        <x:v>107</x:v>
      </x:c>
      <x:c r="H631" s="58" t="str">
        <x:f>""</x:f>
      </x:c>
      <x:c r="I631" s="58" t="str">
        <x:f>""</x:f>
      </x:c>
      <x:c r="J631" s="58" t="n">
        <x:f>IF(G631="","",ABS(E631-G631))</x:f>
        <x:v>98</x:v>
      </x:c>
      <x:c r="K631" s="58" t="str">
        <x:f>IF(H631="","",ABS(E631-H631))</x:f>
      </x:c>
      <x:c r="L631" s="58" t="str">
        <x:f>IF(I631="","",ABS(E631-I631))</x:f>
      </x:c>
      <x:c r="M631" s="23" t="str">
        <x:f>IF(B631&gt;44,"Validation","Training")</x:f>
        <x:v>Training</x:v>
      </x:c>
      <x:c r="N631" s="61" t="str">
        <x:f>IF(OR(H631="",E631=0),"",K631/E631)</x:f>
      </x:c>
    </x:row>
    <x:row r="632">
      <x:c r="A632" s="28" t="n">
        <x:v>40539</x:v>
      </x:c>
      <x:c r="B632" s="23" t="n">
        <x:v>4</x:v>
      </x:c>
      <x:c r="C632" s="23" t="str">
        <x:v>22386</x:v>
      </x:c>
      <x:c r="D632" s="23" t="str">
        <x:v>JUMBO BAG PINK POLKADOT</x:v>
      </x:c>
      <x:c r="E632" s="34" t="n">
        <x:v>0</x:v>
      </x:c>
      <x:c r="F632" s="55" t="n">
        <x:v>0</x:v>
      </x:c>
      <x:c r="G632" s="58" t="n">
        <x:f>E631</x:f>
        <x:v>9</x:v>
      </x:c>
      <x:c r="H632" s="58" t="str">
        <x:f>""</x:f>
      </x:c>
      <x:c r="I632" s="58" t="str">
        <x:f>""</x:f>
      </x:c>
      <x:c r="J632" s="58" t="n">
        <x:f>IF(G632="","",ABS(E632-G632))</x:f>
        <x:v>9</x:v>
      </x:c>
      <x:c r="K632" s="58" t="str">
        <x:f>IF(H632="","",ABS(E632-H632))</x:f>
      </x:c>
      <x:c r="L632" s="58" t="str">
        <x:f>IF(I632="","",ABS(E632-I632))</x:f>
      </x:c>
      <x:c r="M632" s="23" t="str">
        <x:f>IF(B632&gt;44,"Validation","Training")</x:f>
        <x:v>Training</x:v>
      </x:c>
      <x:c r="N632" s="61" t="str">
        <x:f>IF(OR(H632="",E632=0),"",K632/E632)</x:f>
      </x:c>
    </x:row>
    <x:row r="633">
      <x:c r="A633" s="28" t="n">
        <x:v>40546</x:v>
      </x:c>
      <x:c r="B633" s="23" t="n">
        <x:v>5</x:v>
      </x:c>
      <x:c r="C633" s="23" t="str">
        <x:v>22386</x:v>
      </x:c>
      <x:c r="D633" s="23" t="str">
        <x:v>JUMBO BAG PINK POLKADOT</x:v>
      </x:c>
      <x:c r="E633" s="34" t="n">
        <x:v>543</x:v>
      </x:c>
      <x:c r="F633" s="55" t="n">
        <x:v>947.89</x:v>
      </x:c>
      <x:c r="G633" s="58" t="n">
        <x:f>E632</x:f>
        <x:v>0</x:v>
      </x:c>
      <x:c r="H633" s="58" t="n">
        <x:f>AVERAGE(E629:E632)</x:f>
        <x:v>96.5</x:v>
      </x:c>
      <x:c r="I633" s="58" t="str">
        <x:f>""</x:f>
      </x:c>
      <x:c r="J633" s="58" t="str">
        <x:f>IF(G633="","",ABS(E633-G633))</x:f>
      </x:c>
      <x:c r="K633" s="58" t="n">
        <x:f>IF(H633="","",ABS(E633-H633))</x:f>
        <x:v>446.5</x:v>
      </x:c>
      <x:c r="L633" s="58" t="str">
        <x:f>IF(I633="","",ABS(E633-I633))</x:f>
      </x:c>
      <x:c r="M633" s="23" t="str">
        <x:f>IF(B633&gt;44,"Validation","Training")</x:f>
        <x:v>Training</x:v>
      </x:c>
      <x:c r="N633" s="61" t="n">
        <x:f>IF(OR(H633="",E633=0),"",K633/E633)</x:f>
        <x:v>0.8222836095764272</x:v>
      </x:c>
    </x:row>
    <x:row r="634">
      <x:c r="A634" s="28" t="n">
        <x:v>40553</x:v>
      </x:c>
      <x:c r="B634" s="23" t="n">
        <x:v>6</x:v>
      </x:c>
      <x:c r="C634" s="23" t="str">
        <x:v>22386</x:v>
      </x:c>
      <x:c r="D634" s="23" t="str">
        <x:v>JUMBO BAG PINK POLKADOT</x:v>
      </x:c>
      <x:c r="E634" s="34" t="n">
        <x:v>323</x:v>
      </x:c>
      <x:c r="F634" s="55" t="n">
        <x:v>648.87</x:v>
      </x:c>
      <x:c r="G634" s="58" t="n">
        <x:f>E633</x:f>
        <x:v>543</x:v>
      </x:c>
      <x:c r="H634" s="58" t="n">
        <x:f>AVERAGE(E630:E633)</x:f>
        <x:v>164.75</x:v>
      </x:c>
      <x:c r="I634" s="58" t="str">
        <x:f>""</x:f>
      </x:c>
      <x:c r="J634" s="58" t="n">
        <x:f>IF(G634="","",ABS(E634-G634))</x:f>
        <x:v>220</x:v>
      </x:c>
      <x:c r="K634" s="58" t="n">
        <x:f>IF(H634="","",ABS(E634-H634))</x:f>
        <x:v>158.25</x:v>
      </x:c>
      <x:c r="L634" s="58" t="str">
        <x:f>IF(I634="","",ABS(E634-I634))</x:f>
      </x:c>
      <x:c r="M634" s="23" t="str">
        <x:f>IF(B634&gt;44,"Validation","Training")</x:f>
        <x:v>Training</x:v>
      </x:c>
      <x:c r="N634" s="61" t="n">
        <x:f>IF(OR(H634="",E634=0),"",K634/E634)</x:f>
        <x:v>0.48993808049535603</x:v>
      </x:c>
    </x:row>
    <x:row r="635">
      <x:c r="A635" s="28" t="n">
        <x:v>40560</x:v>
      </x:c>
      <x:c r="B635" s="23" t="n">
        <x:v>7</x:v>
      </x:c>
      <x:c r="C635" s="23" t="str">
        <x:v>22386</x:v>
      </x:c>
      <x:c r="D635" s="23" t="str">
        <x:v>JUMBO BAG PINK POLKADOT</x:v>
      </x:c>
      <x:c r="E635" s="34" t="n">
        <x:v>73</x:v>
      </x:c>
      <x:c r="F635" s="55" t="n">
        <x:v>193.63</x:v>
      </x:c>
      <x:c r="G635" s="58" t="n">
        <x:f>E634</x:f>
        <x:v>323</x:v>
      </x:c>
      <x:c r="H635" s="58" t="n">
        <x:f>AVERAGE(E631:E634)</x:f>
        <x:v>218.75</x:v>
      </x:c>
      <x:c r="I635" s="58" t="str">
        <x:f>""</x:f>
      </x:c>
      <x:c r="J635" s="58" t="n">
        <x:f>IF(G635="","",ABS(E635-G635))</x:f>
        <x:v>250</x:v>
      </x:c>
      <x:c r="K635" s="58" t="n">
        <x:f>IF(H635="","",ABS(E635-H635))</x:f>
        <x:v>145.75</x:v>
      </x:c>
      <x:c r="L635" s="58" t="str">
        <x:f>IF(I635="","",ABS(E635-I635))</x:f>
      </x:c>
      <x:c r="M635" s="23" t="str">
        <x:f>IF(B635&gt;44,"Validation","Training")</x:f>
        <x:v>Training</x:v>
      </x:c>
      <x:c r="N635" s="61" t="n">
        <x:f>IF(OR(H635="",E635=0),"",K635/E635)</x:f>
        <x:v>1.9965753424657535</x:v>
      </x:c>
    </x:row>
    <x:row r="636">
      <x:c r="A636" s="28" t="n">
        <x:v>40567</x:v>
      </x:c>
      <x:c r="B636" s="23" t="n">
        <x:v>8</x:v>
      </x:c>
      <x:c r="C636" s="23" t="str">
        <x:v>22386</x:v>
      </x:c>
      <x:c r="D636" s="23" t="str">
        <x:v>JUMBO BAG PINK POLKADOT</x:v>
      </x:c>
      <x:c r="E636" s="34" t="n">
        <x:v>199</x:v>
      </x:c>
      <x:c r="F636" s="55" t="n">
        <x:v>405.21</x:v>
      </x:c>
      <x:c r="G636" s="58" t="n">
        <x:f>E635</x:f>
        <x:v>73</x:v>
      </x:c>
      <x:c r="H636" s="58" t="n">
        <x:f>AVERAGE(E632:E635)</x:f>
        <x:v>234.75</x:v>
      </x:c>
      <x:c r="I636" s="58" t="str">
        <x:f>""</x:f>
      </x:c>
      <x:c r="J636" s="58" t="n">
        <x:f>IF(G636="","",ABS(E636-G636))</x:f>
        <x:v>126</x:v>
      </x:c>
      <x:c r="K636" s="58" t="n">
        <x:f>IF(H636="","",ABS(E636-H636))</x:f>
        <x:v>35.75</x:v>
      </x:c>
      <x:c r="L636" s="58" t="str">
        <x:f>IF(I636="","",ABS(E636-I636))</x:f>
      </x:c>
      <x:c r="M636" s="23" t="str">
        <x:f>IF(B636&gt;44,"Validation","Training")</x:f>
        <x:v>Training</x:v>
      </x:c>
      <x:c r="N636" s="61" t="n">
        <x:f>IF(OR(H636="",E636=0),"",K636/E636)</x:f>
        <x:v>0.17964824120603015</x:v>
      </x:c>
    </x:row>
    <x:row r="637">
      <x:c r="A637" s="28" t="n">
        <x:v>40574</x:v>
      </x:c>
      <x:c r="B637" s="23" t="n">
        <x:v>9</x:v>
      </x:c>
      <x:c r="C637" s="23" t="str">
        <x:v>22386</x:v>
      </x:c>
      <x:c r="D637" s="23" t="str">
        <x:v>JUMBO BAG PINK POLKADOT</x:v>
      </x:c>
      <x:c r="E637" s="34" t="n">
        <x:v>225</x:v>
      </x:c>
      <x:c r="F637" s="55" t="n">
        <x:v>443.63</x:v>
      </x:c>
      <x:c r="G637" s="58" t="n">
        <x:f>E636</x:f>
        <x:v>199</x:v>
      </x:c>
      <x:c r="H637" s="58" t="n">
        <x:f>AVERAGE(E633:E636)</x:f>
        <x:v>284.5</x:v>
      </x:c>
      <x:c r="I637" s="58" t="n">
        <x:f>AVERAGE(E629:E636)</x:f>
        <x:v>190.5</x:v>
      </x:c>
      <x:c r="J637" s="58" t="n">
        <x:f>IF(G637="","",ABS(E637-G637))</x:f>
        <x:v>26</x:v>
      </x:c>
      <x:c r="K637" s="58" t="n">
        <x:f>IF(H637="","",ABS(E637-H637))</x:f>
        <x:v>59.5</x:v>
      </x:c>
      <x:c r="L637" s="58" t="n">
        <x:f>IF(I637="","",ABS(E637-I637))</x:f>
        <x:v>34.5</x:v>
      </x:c>
      <x:c r="M637" s="23" t="str">
        <x:f>IF(B637&gt;44,"Validation","Training")</x:f>
        <x:v>Training</x:v>
      </x:c>
      <x:c r="N637" s="61" t="n">
        <x:f>IF(OR(H637="",E637=0),"",K637/E637)</x:f>
        <x:v>0.2644444444444444</x:v>
      </x:c>
    </x:row>
    <x:row r="638">
      <x:c r="A638" s="28" t="n">
        <x:v>40581</x:v>
      </x:c>
      <x:c r="B638" s="23" t="n">
        <x:v>10</x:v>
      </x:c>
      <x:c r="C638" s="23" t="str">
        <x:v>22386</x:v>
      </x:c>
      <x:c r="D638" s="23" t="str">
        <x:v>JUMBO BAG PINK POLKADOT</x:v>
      </x:c>
      <x:c r="E638" s="34" t="n">
        <x:v>95</x:v>
      </x:c>
      <x:c r="F638" s="55" t="n">
        <x:v>204.87</x:v>
      </x:c>
      <x:c r="G638" s="58" t="n">
        <x:f>E637</x:f>
        <x:v>225</x:v>
      </x:c>
      <x:c r="H638" s="58" t="n">
        <x:f>AVERAGE(E634:E637)</x:f>
        <x:v>205</x:v>
      </x:c>
      <x:c r="I638" s="58" t="n">
        <x:f>AVERAGE(E630:E637)</x:f>
        <x:v>184.875</x:v>
      </x:c>
      <x:c r="J638" s="58" t="n">
        <x:f>IF(G638="","",ABS(E638-G638))</x:f>
        <x:v>130</x:v>
      </x:c>
      <x:c r="K638" s="58" t="n">
        <x:f>IF(H638="","",ABS(E638-H638))</x:f>
        <x:v>110</x:v>
      </x:c>
      <x:c r="L638" s="58" t="n">
        <x:f>IF(I638="","",ABS(E638-I638))</x:f>
        <x:v>89.875</x:v>
      </x:c>
      <x:c r="M638" s="23" t="str">
        <x:f>IF(B638&gt;44,"Validation","Training")</x:f>
        <x:v>Training</x:v>
      </x:c>
      <x:c r="N638" s="61" t="n">
        <x:f>IF(OR(H638="",E638=0),"",K638/E638)</x:f>
        <x:v>1.1578947368421053</x:v>
      </x:c>
    </x:row>
    <x:row r="639">
      <x:c r="A639" s="28" t="n">
        <x:v>40588</x:v>
      </x:c>
      <x:c r="B639" s="23" t="n">
        <x:v>11</x:v>
      </x:c>
      <x:c r="C639" s="23" t="str">
        <x:v>22386</x:v>
      </x:c>
      <x:c r="D639" s="23" t="str">
        <x:v>JUMBO BAG PINK POLKADOT</x:v>
      </x:c>
      <x:c r="E639" s="34" t="n">
        <x:v>409</x:v>
      </x:c>
      <x:c r="F639" s="55" t="n">
        <x:v>755.51</x:v>
      </x:c>
      <x:c r="G639" s="58" t="n">
        <x:f>E638</x:f>
        <x:v>95</x:v>
      </x:c>
      <x:c r="H639" s="58" t="n">
        <x:f>AVERAGE(E635:E638)</x:f>
        <x:v>148</x:v>
      </x:c>
      <x:c r="I639" s="58" t="n">
        <x:f>AVERAGE(E631:E638)</x:f>
        <x:v>183.375</x:v>
      </x:c>
      <x:c r="J639" s="58" t="n">
        <x:f>IF(G639="","",ABS(E639-G639))</x:f>
        <x:v>314</x:v>
      </x:c>
      <x:c r="K639" s="58" t="n">
        <x:f>IF(H639="","",ABS(E639-H639))</x:f>
        <x:v>261</x:v>
      </x:c>
      <x:c r="L639" s="58" t="n">
        <x:f>IF(I639="","",ABS(E639-I639))</x:f>
        <x:v>225.625</x:v>
      </x:c>
      <x:c r="M639" s="23" t="str">
        <x:f>IF(B639&gt;44,"Validation","Training")</x:f>
        <x:v>Training</x:v>
      </x:c>
      <x:c r="N639" s="61" t="n">
        <x:f>IF(OR(H639="",E639=0),"",K639/E639)</x:f>
        <x:v>0.6381418092909535</x:v>
      </x:c>
    </x:row>
    <x:row r="640">
      <x:c r="A640" s="28" t="n">
        <x:v>40595</x:v>
      </x:c>
      <x:c r="B640" s="23" t="n">
        <x:v>12</x:v>
      </x:c>
      <x:c r="C640" s="23" t="str">
        <x:v>22386</x:v>
      </x:c>
      <x:c r="D640" s="23" t="str">
        <x:v>JUMBO BAG PINK POLKADOT</x:v>
      </x:c>
      <x:c r="E640" s="34" t="n">
        <x:v>260</x:v>
      </x:c>
      <x:c r="F640" s="55" t="n">
        <x:v>462.26</x:v>
      </x:c>
      <x:c r="G640" s="58" t="n">
        <x:f>E639</x:f>
        <x:v>409</x:v>
      </x:c>
      <x:c r="H640" s="58" t="n">
        <x:f>AVERAGE(E636:E639)</x:f>
        <x:v>232</x:v>
      </x:c>
      <x:c r="I640" s="58" t="n">
        <x:f>AVERAGE(E632:E639)</x:f>
        <x:v>233.375</x:v>
      </x:c>
      <x:c r="J640" s="58" t="n">
        <x:f>IF(G640="","",ABS(E640-G640))</x:f>
        <x:v>149</x:v>
      </x:c>
      <x:c r="K640" s="58" t="n">
        <x:f>IF(H640="","",ABS(E640-H640))</x:f>
        <x:v>28</x:v>
      </x:c>
      <x:c r="L640" s="58" t="n">
        <x:f>IF(I640="","",ABS(E640-I640))</x:f>
        <x:v>26.625</x:v>
      </x:c>
      <x:c r="M640" s="23" t="str">
        <x:f>IF(B640&gt;44,"Validation","Training")</x:f>
        <x:v>Training</x:v>
      </x:c>
      <x:c r="N640" s="61" t="n">
        <x:f>IF(OR(H640="",E640=0),"",K640/E640)</x:f>
        <x:v>0.1076923076923077</x:v>
      </x:c>
    </x:row>
    <x:row r="641">
      <x:c r="A641" s="28" t="n">
        <x:v>40602</x:v>
      </x:c>
      <x:c r="B641" s="23" t="n">
        <x:v>13</x:v>
      </x:c>
      <x:c r="C641" s="23" t="str">
        <x:v>22386</x:v>
      </x:c>
      <x:c r="D641" s="23" t="str">
        <x:v>JUMBO BAG PINK POLKADOT</x:v>
      </x:c>
      <x:c r="E641" s="34" t="n">
        <x:v>174</x:v>
      </x:c>
      <x:c r="F641" s="55" t="n">
        <x:v>348.02</x:v>
      </x:c>
      <x:c r="G641" s="58" t="n">
        <x:f>E640</x:f>
        <x:v>260</x:v>
      </x:c>
      <x:c r="H641" s="58" t="n">
        <x:f>AVERAGE(E637:E640)</x:f>
        <x:v>247.25</x:v>
      </x:c>
      <x:c r="I641" s="58" t="n">
        <x:f>AVERAGE(E633:E640)</x:f>
        <x:v>265.875</x:v>
      </x:c>
      <x:c r="J641" s="58" t="n">
        <x:f>IF(G641="","",ABS(E641-G641))</x:f>
        <x:v>86</x:v>
      </x:c>
      <x:c r="K641" s="58" t="n">
        <x:f>IF(H641="","",ABS(E641-H641))</x:f>
        <x:v>73.25</x:v>
      </x:c>
      <x:c r="L641" s="58" t="n">
        <x:f>IF(I641="","",ABS(E641-I641))</x:f>
        <x:v>91.875</x:v>
      </x:c>
      <x:c r="M641" s="23" t="str">
        <x:f>IF(B641&gt;44,"Validation","Training")</x:f>
        <x:v>Training</x:v>
      </x:c>
      <x:c r="N641" s="61" t="n">
        <x:f>IF(OR(H641="",E641=0),"",K641/E641)</x:f>
        <x:v>0.4209770114942529</x:v>
      </x:c>
    </x:row>
    <x:row r="642">
      <x:c r="A642" s="28" t="n">
        <x:v>40609</x:v>
      </x:c>
      <x:c r="B642" s="23" t="n">
        <x:v>14</x:v>
      </x:c>
      <x:c r="C642" s="23" t="str">
        <x:v>22386</x:v>
      </x:c>
      <x:c r="D642" s="23" t="str">
        <x:v>JUMBO BAG PINK POLKADOT</x:v>
      </x:c>
      <x:c r="E642" s="34" t="n">
        <x:v>374</x:v>
      </x:c>
      <x:c r="F642" s="55" t="n">
        <x:v>704.18</x:v>
      </x:c>
      <x:c r="G642" s="58" t="n">
        <x:f>E641</x:f>
        <x:v>174</x:v>
      </x:c>
      <x:c r="H642" s="58" t="n">
        <x:f>AVERAGE(E638:E641)</x:f>
        <x:v>234.5</x:v>
      </x:c>
      <x:c r="I642" s="58" t="n">
        <x:f>AVERAGE(E634:E641)</x:f>
        <x:v>219.75</x:v>
      </x:c>
      <x:c r="J642" s="58" t="n">
        <x:f>IF(G642="","",ABS(E642-G642))</x:f>
        <x:v>200</x:v>
      </x:c>
      <x:c r="K642" s="58" t="n">
        <x:f>IF(H642="","",ABS(E642-H642))</x:f>
        <x:v>139.5</x:v>
      </x:c>
      <x:c r="L642" s="58" t="n">
        <x:f>IF(I642="","",ABS(E642-I642))</x:f>
        <x:v>154.25</x:v>
      </x:c>
      <x:c r="M642" s="23" t="str">
        <x:f>IF(B642&gt;44,"Validation","Training")</x:f>
        <x:v>Training</x:v>
      </x:c>
      <x:c r="N642" s="61" t="n">
        <x:f>IF(OR(H642="",E642=0),"",K642/E642)</x:f>
        <x:v>0.3729946524064171</x:v>
      </x:c>
    </x:row>
    <x:row r="643">
      <x:c r="A643" s="28" t="n">
        <x:v>40616</x:v>
      </x:c>
      <x:c r="B643" s="23" t="n">
        <x:v>15</x:v>
      </x:c>
      <x:c r="C643" s="23" t="str">
        <x:v>22386</x:v>
      </x:c>
      <x:c r="D643" s="23" t="str">
        <x:v>JUMBO BAG PINK POLKADOT</x:v>
      </x:c>
      <x:c r="E643" s="34" t="n">
        <x:v>1083</x:v>
      </x:c>
      <x:c r="F643" s="55" t="n">
        <x:v>1917.87</x:v>
      </x:c>
      <x:c r="G643" s="58" t="n">
        <x:f>E642</x:f>
        <x:v>374</x:v>
      </x:c>
      <x:c r="H643" s="58" t="n">
        <x:f>AVERAGE(E639:E642)</x:f>
        <x:v>304.25</x:v>
      </x:c>
      <x:c r="I643" s="58" t="n">
        <x:f>AVERAGE(E635:E642)</x:f>
        <x:v>226.125</x:v>
      </x:c>
      <x:c r="J643" s="58" t="n">
        <x:f>IF(G643="","",ABS(E643-G643))</x:f>
        <x:v>709</x:v>
      </x:c>
      <x:c r="K643" s="58" t="n">
        <x:f>IF(H643="","",ABS(E643-H643))</x:f>
        <x:v>778.75</x:v>
      </x:c>
      <x:c r="L643" s="58" t="n">
        <x:f>IF(I643="","",ABS(E643-I643))</x:f>
        <x:v>856.875</x:v>
      </x:c>
      <x:c r="M643" s="23" t="str">
        <x:f>IF(B643&gt;44,"Validation","Training")</x:f>
        <x:v>Training</x:v>
      </x:c>
      <x:c r="N643" s="61" t="n">
        <x:f>IF(OR(H643="",E643=0),"",K643/E643)</x:f>
        <x:v>0.719067405355494</x:v>
      </x:c>
    </x:row>
    <x:row r="644">
      <x:c r="A644" s="28" t="n">
        <x:v>40623</x:v>
      </x:c>
      <x:c r="B644" s="23" t="n">
        <x:v>16</x:v>
      </x:c>
      <x:c r="C644" s="23" t="str">
        <x:v>22386</x:v>
      </x:c>
      <x:c r="D644" s="23" t="str">
        <x:v>JUMBO BAG PINK POLKADOT</x:v>
      </x:c>
      <x:c r="E644" s="34" t="n">
        <x:v>586</x:v>
      </x:c>
      <x:c r="F644" s="55" t="n">
        <x:v>1064.12</x:v>
      </x:c>
      <x:c r="G644" s="58" t="n">
        <x:f>E643</x:f>
        <x:v>1083</x:v>
      </x:c>
      <x:c r="H644" s="58" t="n">
        <x:f>AVERAGE(E640:E643)</x:f>
        <x:v>472.75</x:v>
      </x:c>
      <x:c r="I644" s="58" t="n">
        <x:f>AVERAGE(E636:E643)</x:f>
        <x:v>352.375</x:v>
      </x:c>
      <x:c r="J644" s="58" t="n">
        <x:f>IF(G644="","",ABS(E644-G644))</x:f>
        <x:v>497</x:v>
      </x:c>
      <x:c r="K644" s="58" t="n">
        <x:f>IF(H644="","",ABS(E644-H644))</x:f>
        <x:v>113.25</x:v>
      </x:c>
      <x:c r="L644" s="58" t="n">
        <x:f>IF(I644="","",ABS(E644-I644))</x:f>
        <x:v>233.625</x:v>
      </x:c>
      <x:c r="M644" s="23" t="str">
        <x:f>IF(B644&gt;44,"Validation","Training")</x:f>
        <x:v>Training</x:v>
      </x:c>
      <x:c r="N644" s="61" t="n">
        <x:f>IF(OR(H644="",E644=0),"",K644/E644)</x:f>
        <x:v>0.193259385665529</x:v>
      </x:c>
    </x:row>
    <x:row r="645">
      <x:c r="A645" s="28" t="n">
        <x:v>40630</x:v>
      </x:c>
      <x:c r="B645" s="23" t="n">
        <x:v>17</x:v>
      </x:c>
      <x:c r="C645" s="23" t="str">
        <x:v>22386</x:v>
      </x:c>
      <x:c r="D645" s="23" t="str">
        <x:v>JUMBO BAG PINK POLKADOT</x:v>
      </x:c>
      <x:c r="E645" s="34" t="n">
        <x:v>675</x:v>
      </x:c>
      <x:c r="F645" s="55" t="n">
        <x:v>1212.61</x:v>
      </x:c>
      <x:c r="G645" s="58" t="n">
        <x:f>E644</x:f>
        <x:v>586</x:v>
      </x:c>
      <x:c r="H645" s="58" t="n">
        <x:f>AVERAGE(E641:E644)</x:f>
        <x:v>554.25</x:v>
      </x:c>
      <x:c r="I645" s="58" t="n">
        <x:f>AVERAGE(E637:E644)</x:f>
        <x:v>400.75</x:v>
      </x:c>
      <x:c r="J645" s="58" t="n">
        <x:f>IF(G645="","",ABS(E645-G645))</x:f>
        <x:v>89</x:v>
      </x:c>
      <x:c r="K645" s="58" t="n">
        <x:f>IF(H645="","",ABS(E645-H645))</x:f>
        <x:v>120.75</x:v>
      </x:c>
      <x:c r="L645" s="58" t="n">
        <x:f>IF(I645="","",ABS(E645-I645))</x:f>
        <x:v>274.25</x:v>
      </x:c>
      <x:c r="M645" s="23" t="str">
        <x:f>IF(B645&gt;44,"Validation","Training")</x:f>
        <x:v>Training</x:v>
      </x:c>
      <x:c r="N645" s="61" t="n">
        <x:f>IF(OR(H645="",E645=0),"",K645/E645)</x:f>
        <x:v>0.17888888888888888</x:v>
      </x:c>
    </x:row>
    <x:row r="646">
      <x:c r="A646" s="28" t="n">
        <x:v>40637</x:v>
      </x:c>
      <x:c r="B646" s="23" t="n">
        <x:v>18</x:v>
      </x:c>
      <x:c r="C646" s="23" t="str">
        <x:v>22386</x:v>
      </x:c>
      <x:c r="D646" s="23" t="str">
        <x:v>JUMBO BAG PINK POLKADOT</x:v>
      </x:c>
      <x:c r="E646" s="34" t="n">
        <x:v>125</x:v>
      </x:c>
      <x:c r="F646" s="55" t="n">
        <x:v>271.75</x:v>
      </x:c>
      <x:c r="G646" s="58" t="n">
        <x:f>E645</x:f>
        <x:v>675</x:v>
      </x:c>
      <x:c r="H646" s="58" t="n">
        <x:f>AVERAGE(E642:E645)</x:f>
        <x:v>679.5</x:v>
      </x:c>
      <x:c r="I646" s="58" t="n">
        <x:f>AVERAGE(E638:E645)</x:f>
        <x:v>457</x:v>
      </x:c>
      <x:c r="J646" s="58" t="n">
        <x:f>IF(G646="","",ABS(E646-G646))</x:f>
        <x:v>550</x:v>
      </x:c>
      <x:c r="K646" s="58" t="n">
        <x:f>IF(H646="","",ABS(E646-H646))</x:f>
        <x:v>554.5</x:v>
      </x:c>
      <x:c r="L646" s="58" t="n">
        <x:f>IF(I646="","",ABS(E646-I646))</x:f>
        <x:v>332</x:v>
      </x:c>
      <x:c r="M646" s="23" t="str">
        <x:f>IF(B646&gt;44,"Validation","Training")</x:f>
        <x:v>Training</x:v>
      </x:c>
      <x:c r="N646" s="61" t="n">
        <x:f>IF(OR(H646="",E646=0),"",K646/E646)</x:f>
        <x:v>4.436</x:v>
      </x:c>
    </x:row>
    <x:row r="647">
      <x:c r="A647" s="28" t="n">
        <x:v>40644</x:v>
      </x:c>
      <x:c r="B647" s="23" t="n">
        <x:v>19</x:v>
      </x:c>
      <x:c r="C647" s="23" t="str">
        <x:v>22386</x:v>
      </x:c>
      <x:c r="D647" s="23" t="str">
        <x:v>JUMBO BAG PINK POLKADOT</x:v>
      </x:c>
      <x:c r="E647" s="34" t="n">
        <x:v>119</x:v>
      </x:c>
      <x:c r="F647" s="55" t="n">
        <x:v>280.32</x:v>
      </x:c>
      <x:c r="G647" s="58" t="n">
        <x:f>E646</x:f>
        <x:v>125</x:v>
      </x:c>
      <x:c r="H647" s="58" t="n">
        <x:f>AVERAGE(E643:E646)</x:f>
        <x:v>617.25</x:v>
      </x:c>
      <x:c r="I647" s="58" t="n">
        <x:f>AVERAGE(E639:E646)</x:f>
        <x:v>460.75</x:v>
      </x:c>
      <x:c r="J647" s="58" t="n">
        <x:f>IF(G647="","",ABS(E647-G647))</x:f>
        <x:v>6</x:v>
      </x:c>
      <x:c r="K647" s="58" t="n">
        <x:f>IF(H647="","",ABS(E647-H647))</x:f>
        <x:v>498.25</x:v>
      </x:c>
      <x:c r="L647" s="58" t="n">
        <x:f>IF(I647="","",ABS(E647-I647))</x:f>
        <x:v>341.75</x:v>
      </x:c>
      <x:c r="M647" s="23" t="str">
        <x:f>IF(B647&gt;44,"Validation","Training")</x:f>
        <x:v>Training</x:v>
      </x:c>
      <x:c r="N647" s="61" t="n">
        <x:f>IF(OR(H647="",E647=0),"",K647/E647)</x:f>
        <x:v>4.186974789915967</x:v>
      </x:c>
    </x:row>
    <x:row r="648">
      <x:c r="A648" s="28" t="n">
        <x:v>40651</x:v>
      </x:c>
      <x:c r="B648" s="23" t="n">
        <x:v>20</x:v>
      </x:c>
      <x:c r="C648" s="23" t="str">
        <x:v>22386</x:v>
      </x:c>
      <x:c r="D648" s="23" t="str">
        <x:v>JUMBO BAG PINK POLKADOT</x:v>
      </x:c>
      <x:c r="E648" s="34" t="n">
        <x:v>155</x:v>
      </x:c>
      <x:c r="F648" s="55" t="n">
        <x:v>340.85</x:v>
      </x:c>
      <x:c r="G648" s="58" t="n">
        <x:f>E647</x:f>
        <x:v>119</x:v>
      </x:c>
      <x:c r="H648" s="58" t="n">
        <x:f>AVERAGE(E644:E647)</x:f>
        <x:v>376.25</x:v>
      </x:c>
      <x:c r="I648" s="58" t="n">
        <x:f>AVERAGE(E640:E647)</x:f>
        <x:v>424.5</x:v>
      </x:c>
      <x:c r="J648" s="58" t="n">
        <x:f>IF(G648="","",ABS(E648-G648))</x:f>
        <x:v>36</x:v>
      </x:c>
      <x:c r="K648" s="58" t="n">
        <x:f>IF(H648="","",ABS(E648-H648))</x:f>
        <x:v>221.25</x:v>
      </x:c>
      <x:c r="L648" s="58" t="n">
        <x:f>IF(I648="","",ABS(E648-I648))</x:f>
        <x:v>269.5</x:v>
      </x:c>
      <x:c r="M648" s="23" t="str">
        <x:f>IF(B648&gt;44,"Validation","Training")</x:f>
        <x:v>Training</x:v>
      </x:c>
      <x:c r="N648" s="61" t="n">
        <x:f>IF(OR(H648="",E648=0),"",K648/E648)</x:f>
        <x:v>1.4274193548387097</x:v>
      </x:c>
    </x:row>
    <x:row r="649">
      <x:c r="A649" s="28" t="n">
        <x:v>40658</x:v>
      </x:c>
      <x:c r="B649" s="23" t="n">
        <x:v>21</x:v>
      </x:c>
      <x:c r="C649" s="23" t="str">
        <x:v>22386</x:v>
      </x:c>
      <x:c r="D649" s="23" t="str">
        <x:v>JUMBO BAG PINK POLKADOT</x:v>
      </x:c>
      <x:c r="E649" s="34" t="n">
        <x:v>282</x:v>
      </x:c>
      <x:c r="F649" s="55" t="n">
        <x:v>578.91</x:v>
      </x:c>
      <x:c r="G649" s="58" t="n">
        <x:f>E648</x:f>
        <x:v>155</x:v>
      </x:c>
      <x:c r="H649" s="58" t="n">
        <x:f>AVERAGE(E645:E648)</x:f>
        <x:v>268.5</x:v>
      </x:c>
      <x:c r="I649" s="58" t="n">
        <x:f>AVERAGE(E641:E648)</x:f>
        <x:v>411.375</x:v>
      </x:c>
      <x:c r="J649" s="58" t="n">
        <x:f>IF(G649="","",ABS(E649-G649))</x:f>
        <x:v>127</x:v>
      </x:c>
      <x:c r="K649" s="58" t="n">
        <x:f>IF(H649="","",ABS(E649-H649))</x:f>
        <x:v>13.5</x:v>
      </x:c>
      <x:c r="L649" s="58" t="n">
        <x:f>IF(I649="","",ABS(E649-I649))</x:f>
        <x:v>129.375</x:v>
      </x:c>
      <x:c r="M649" s="23" t="str">
        <x:f>IF(B649&gt;44,"Validation","Training")</x:f>
        <x:v>Training</x:v>
      </x:c>
      <x:c r="N649" s="61" t="n">
        <x:f>IF(OR(H649="",E649=0),"",K649/E649)</x:f>
        <x:v>0.047872340425531915</x:v>
      </x:c>
    </x:row>
    <x:row r="650">
      <x:c r="A650" s="28" t="n">
        <x:v>40665</x:v>
      </x:c>
      <x:c r="B650" s="23" t="n">
        <x:v>22</x:v>
      </x:c>
      <x:c r="C650" s="23" t="str">
        <x:v>22386</x:v>
      </x:c>
      <x:c r="D650" s="23" t="str">
        <x:v>JUMBO BAG PINK POLKADOT</x:v>
      </x:c>
      <x:c r="E650" s="34" t="n">
        <x:v>154</x:v>
      </x:c>
      <x:c r="F650" s="55" t="n">
        <x:v>323.12</x:v>
      </x:c>
      <x:c r="G650" s="58" t="n">
        <x:f>E649</x:f>
        <x:v>282</x:v>
      </x:c>
      <x:c r="H650" s="58" t="n">
        <x:f>AVERAGE(E646:E649)</x:f>
        <x:v>170.25</x:v>
      </x:c>
      <x:c r="I650" s="58" t="n">
        <x:f>AVERAGE(E642:E649)</x:f>
        <x:v>424.875</x:v>
      </x:c>
      <x:c r="J650" s="58" t="n">
        <x:f>IF(G650="","",ABS(E650-G650))</x:f>
        <x:v>128</x:v>
      </x:c>
      <x:c r="K650" s="58" t="n">
        <x:f>IF(H650="","",ABS(E650-H650))</x:f>
        <x:v>16.25</x:v>
      </x:c>
      <x:c r="L650" s="58" t="n">
        <x:f>IF(I650="","",ABS(E650-I650))</x:f>
        <x:v>270.875</x:v>
      </x:c>
      <x:c r="M650" s="23" t="str">
        <x:f>IF(B650&gt;44,"Validation","Training")</x:f>
        <x:v>Training</x:v>
      </x:c>
      <x:c r="N650" s="61" t="n">
        <x:f>IF(OR(H650="",E650=0),"",K650/E650)</x:f>
        <x:v>0.10551948051948051</x:v>
      </x:c>
    </x:row>
    <x:row r="651">
      <x:c r="A651" s="28" t="n">
        <x:v>40672</x:v>
      </x:c>
      <x:c r="B651" s="23" t="n">
        <x:v>23</x:v>
      </x:c>
      <x:c r="C651" s="23" t="str">
        <x:v>22386</x:v>
      </x:c>
      <x:c r="D651" s="23" t="str">
        <x:v>JUMBO BAG PINK POLKADOT</x:v>
      </x:c>
      <x:c r="E651" s="34" t="n">
        <x:v>401</x:v>
      </x:c>
      <x:c r="F651" s="55" t="n">
        <x:v>843.73</x:v>
      </x:c>
      <x:c r="G651" s="58" t="n">
        <x:f>E650</x:f>
        <x:v>154</x:v>
      </x:c>
      <x:c r="H651" s="58" t="n">
        <x:f>AVERAGE(E647:E650)</x:f>
        <x:v>177.5</x:v>
      </x:c>
      <x:c r="I651" s="58" t="n">
        <x:f>AVERAGE(E643:E650)</x:f>
        <x:v>397.375</x:v>
      </x:c>
      <x:c r="J651" s="58" t="n">
        <x:f>IF(G651="","",ABS(E651-G651))</x:f>
        <x:v>247</x:v>
      </x:c>
      <x:c r="K651" s="58" t="n">
        <x:f>IF(H651="","",ABS(E651-H651))</x:f>
        <x:v>223.5</x:v>
      </x:c>
      <x:c r="L651" s="58" t="n">
        <x:f>IF(I651="","",ABS(E651-I651))</x:f>
        <x:v>3.625</x:v>
      </x:c>
      <x:c r="M651" s="23" t="str">
        <x:f>IF(B651&gt;44,"Validation","Training")</x:f>
        <x:v>Training</x:v>
      </x:c>
      <x:c r="N651" s="61" t="n">
        <x:f>IF(OR(H651="",E651=0),"",K651/E651)</x:f>
        <x:v>0.557356608478803</x:v>
      </x:c>
    </x:row>
    <x:row r="652">
      <x:c r="A652" s="28" t="n">
        <x:v>40679</x:v>
      </x:c>
      <x:c r="B652" s="23" t="n">
        <x:v>24</x:v>
      </x:c>
      <x:c r="C652" s="23" t="str">
        <x:v>22386</x:v>
      </x:c>
      <x:c r="D652" s="23" t="str">
        <x:v>JUMBO BAG PINK POLKADOT</x:v>
      </x:c>
      <x:c r="E652" s="34" t="n">
        <x:v>179</x:v>
      </x:c>
      <x:c r="F652" s="55" t="n">
        <x:v>440.72</x:v>
      </x:c>
      <x:c r="G652" s="58" t="n">
        <x:f>E651</x:f>
        <x:v>401</x:v>
      </x:c>
      <x:c r="H652" s="58" t="n">
        <x:f>AVERAGE(E648:E651)</x:f>
        <x:v>248</x:v>
      </x:c>
      <x:c r="I652" s="58" t="n">
        <x:f>AVERAGE(E644:E651)</x:f>
        <x:v>312.125</x:v>
      </x:c>
      <x:c r="J652" s="58" t="n">
        <x:f>IF(G652="","",ABS(E652-G652))</x:f>
        <x:v>222</x:v>
      </x:c>
      <x:c r="K652" s="58" t="n">
        <x:f>IF(H652="","",ABS(E652-H652))</x:f>
        <x:v>69</x:v>
      </x:c>
      <x:c r="L652" s="58" t="n">
        <x:f>IF(I652="","",ABS(E652-I652))</x:f>
        <x:v>133.125</x:v>
      </x:c>
      <x:c r="M652" s="23" t="str">
        <x:f>IF(B652&gt;44,"Validation","Training")</x:f>
        <x:v>Training</x:v>
      </x:c>
      <x:c r="N652" s="61" t="n">
        <x:f>IF(OR(H652="",E652=0),"",K652/E652)</x:f>
        <x:v>0.3854748603351955</x:v>
      </x:c>
    </x:row>
    <x:row r="653">
      <x:c r="A653" s="28" t="n">
        <x:v>40686</x:v>
      </x:c>
      <x:c r="B653" s="23" t="n">
        <x:v>25</x:v>
      </x:c>
      <x:c r="C653" s="23" t="str">
        <x:v>22386</x:v>
      </x:c>
      <x:c r="D653" s="23" t="str">
        <x:v>JUMBO BAG PINK POLKADOT</x:v>
      </x:c>
      <x:c r="E653" s="34" t="n">
        <x:v>560</x:v>
      </x:c>
      <x:c r="F653" s="55" t="n">
        <x:v>1093.9</x:v>
      </x:c>
      <x:c r="G653" s="58" t="n">
        <x:f>E652</x:f>
        <x:v>179</x:v>
      </x:c>
      <x:c r="H653" s="58" t="n">
        <x:f>AVERAGE(E649:E652)</x:f>
        <x:v>254</x:v>
      </x:c>
      <x:c r="I653" s="58" t="n">
        <x:f>AVERAGE(E645:E652)</x:f>
        <x:v>261.25</x:v>
      </x:c>
      <x:c r="J653" s="58" t="n">
        <x:f>IF(G653="","",ABS(E653-G653))</x:f>
        <x:v>381</x:v>
      </x:c>
      <x:c r="K653" s="58" t="n">
        <x:f>IF(H653="","",ABS(E653-H653))</x:f>
        <x:v>306</x:v>
      </x:c>
      <x:c r="L653" s="58" t="n">
        <x:f>IF(I653="","",ABS(E653-I653))</x:f>
        <x:v>298.75</x:v>
      </x:c>
      <x:c r="M653" s="23" t="str">
        <x:f>IF(B653&gt;44,"Validation","Training")</x:f>
        <x:v>Training</x:v>
      </x:c>
      <x:c r="N653" s="61" t="n">
        <x:f>IF(OR(H653="",E653=0),"",K653/E653)</x:f>
        <x:v>0.5464285714285714</x:v>
      </x:c>
    </x:row>
    <x:row r="654">
      <x:c r="A654" s="28" t="n">
        <x:v>40693</x:v>
      </x:c>
      <x:c r="B654" s="23" t="n">
        <x:v>26</x:v>
      </x:c>
      <x:c r="C654" s="23" t="str">
        <x:v>22386</x:v>
      </x:c>
      <x:c r="D654" s="23" t="str">
        <x:v>JUMBO BAG PINK POLKADOT</x:v>
      </x:c>
      <x:c r="E654" s="34" t="n">
        <x:v>410</x:v>
      </x:c>
      <x:c r="F654" s="55" t="n">
        <x:v>774</x:v>
      </x:c>
      <x:c r="G654" s="58" t="n">
        <x:f>E653</x:f>
        <x:v>560</x:v>
      </x:c>
      <x:c r="H654" s="58" t="n">
        <x:f>AVERAGE(E650:E653)</x:f>
        <x:v>323.5</x:v>
      </x:c>
      <x:c r="I654" s="58" t="n">
        <x:f>AVERAGE(E646:E653)</x:f>
        <x:v>246.875</x:v>
      </x:c>
      <x:c r="J654" s="58" t="n">
        <x:f>IF(G654="","",ABS(E654-G654))</x:f>
        <x:v>150</x:v>
      </x:c>
      <x:c r="K654" s="58" t="n">
        <x:f>IF(H654="","",ABS(E654-H654))</x:f>
        <x:v>86.5</x:v>
      </x:c>
      <x:c r="L654" s="58" t="n">
        <x:f>IF(I654="","",ABS(E654-I654))</x:f>
        <x:v>163.125</x:v>
      </x:c>
      <x:c r="M654" s="23" t="str">
        <x:f>IF(B654&gt;44,"Validation","Training")</x:f>
        <x:v>Training</x:v>
      </x:c>
      <x:c r="N654" s="61" t="n">
        <x:f>IF(OR(H654="",E654=0),"",K654/E654)</x:f>
        <x:v>0.21097560975609755</x:v>
      </x:c>
    </x:row>
    <x:row r="655">
      <x:c r="A655" s="28" t="n">
        <x:v>40700</x:v>
      </x:c>
      <x:c r="B655" s="23" t="n">
        <x:v>27</x:v>
      </x:c>
      <x:c r="C655" s="23" t="str">
        <x:v>22386</x:v>
      </x:c>
      <x:c r="D655" s="23" t="str">
        <x:v>JUMBO BAG PINK POLKADOT</x:v>
      </x:c>
      <x:c r="E655" s="34" t="n">
        <x:v>478</x:v>
      </x:c>
      <x:c r="F655" s="55" t="n">
        <x:v>1005.04</x:v>
      </x:c>
      <x:c r="G655" s="58" t="n">
        <x:f>E654</x:f>
        <x:v>410</x:v>
      </x:c>
      <x:c r="H655" s="58" t="n">
        <x:f>AVERAGE(E651:E654)</x:f>
        <x:v>387.5</x:v>
      </x:c>
      <x:c r="I655" s="58" t="n">
        <x:f>AVERAGE(E647:E654)</x:f>
        <x:v>282.5</x:v>
      </x:c>
      <x:c r="J655" s="58" t="n">
        <x:f>IF(G655="","",ABS(E655-G655))</x:f>
        <x:v>68</x:v>
      </x:c>
      <x:c r="K655" s="58" t="n">
        <x:f>IF(H655="","",ABS(E655-H655))</x:f>
        <x:v>90.5</x:v>
      </x:c>
      <x:c r="L655" s="58" t="n">
        <x:f>IF(I655="","",ABS(E655-I655))</x:f>
        <x:v>195.5</x:v>
      </x:c>
      <x:c r="M655" s="23" t="str">
        <x:f>IF(B655&gt;44,"Validation","Training")</x:f>
        <x:v>Training</x:v>
      </x:c>
      <x:c r="N655" s="61" t="n">
        <x:f>IF(OR(H655="",E655=0),"",K655/E655)</x:f>
        <x:v>0.1893305439330544</x:v>
      </x:c>
    </x:row>
    <x:row r="656">
      <x:c r="A656" s="28" t="n">
        <x:v>40707</x:v>
      </x:c>
      <x:c r="B656" s="23" t="n">
        <x:v>28</x:v>
      </x:c>
      <x:c r="C656" s="23" t="str">
        <x:v>22386</x:v>
      </x:c>
      <x:c r="D656" s="23" t="str">
        <x:v>JUMBO BAG PINK POLKADOT</x:v>
      </x:c>
      <x:c r="E656" s="34" t="n">
        <x:v>243</x:v>
      </x:c>
      <x:c r="F656" s="55" t="n">
        <x:v>505.24</x:v>
      </x:c>
      <x:c r="G656" s="58" t="n">
        <x:f>E655</x:f>
        <x:v>478</x:v>
      </x:c>
      <x:c r="H656" s="58" t="n">
        <x:f>AVERAGE(E652:E655)</x:f>
        <x:v>406.75</x:v>
      </x:c>
      <x:c r="I656" s="58" t="n">
        <x:f>AVERAGE(E648:E655)</x:f>
        <x:v>327.375</x:v>
      </x:c>
      <x:c r="J656" s="58" t="n">
        <x:f>IF(G656="","",ABS(E656-G656))</x:f>
        <x:v>235</x:v>
      </x:c>
      <x:c r="K656" s="58" t="n">
        <x:f>IF(H656="","",ABS(E656-H656))</x:f>
        <x:v>163.75</x:v>
      </x:c>
      <x:c r="L656" s="58" t="n">
        <x:f>IF(I656="","",ABS(E656-I656))</x:f>
        <x:v>84.375</x:v>
      </x:c>
      <x:c r="M656" s="23" t="str">
        <x:f>IF(B656&gt;44,"Validation","Training")</x:f>
        <x:v>Training</x:v>
      </x:c>
      <x:c r="N656" s="61" t="n">
        <x:f>IF(OR(H656="",E656=0),"",K656/E656)</x:f>
        <x:v>0.6738683127572016</x:v>
      </x:c>
    </x:row>
    <x:row r="657">
      <x:c r="A657" s="28" t="n">
        <x:v>40714</x:v>
      </x:c>
      <x:c r="B657" s="23" t="n">
        <x:v>29</x:v>
      </x:c>
      <x:c r="C657" s="23" t="str">
        <x:v>22386</x:v>
      </x:c>
      <x:c r="D657" s="23" t="str">
        <x:v>JUMBO BAG PINK POLKADOT</x:v>
      </x:c>
      <x:c r="E657" s="34" t="n">
        <x:v>611</x:v>
      </x:c>
      <x:c r="F657" s="55" t="n">
        <x:v>1185.63</x:v>
      </x:c>
      <x:c r="G657" s="58" t="n">
        <x:f>E656</x:f>
        <x:v>243</x:v>
      </x:c>
      <x:c r="H657" s="58" t="n">
        <x:f>AVERAGE(E653:E656)</x:f>
        <x:v>422.75</x:v>
      </x:c>
      <x:c r="I657" s="58" t="n">
        <x:f>AVERAGE(E649:E656)</x:f>
        <x:v>338.375</x:v>
      </x:c>
      <x:c r="J657" s="58" t="n">
        <x:f>IF(G657="","",ABS(E657-G657))</x:f>
        <x:v>368</x:v>
      </x:c>
      <x:c r="K657" s="58" t="n">
        <x:f>IF(H657="","",ABS(E657-H657))</x:f>
        <x:v>188.25</x:v>
      </x:c>
      <x:c r="L657" s="58" t="n">
        <x:f>IF(I657="","",ABS(E657-I657))</x:f>
        <x:v>272.625</x:v>
      </x:c>
      <x:c r="M657" s="23" t="str">
        <x:f>IF(B657&gt;44,"Validation","Training")</x:f>
        <x:v>Training</x:v>
      </x:c>
      <x:c r="N657" s="61" t="n">
        <x:f>IF(OR(H657="",E657=0),"",K657/E657)</x:f>
        <x:v>0.30810147299509</x:v>
      </x:c>
    </x:row>
    <x:row r="658">
      <x:c r="A658" s="28" t="n">
        <x:v>40721</x:v>
      </x:c>
      <x:c r="B658" s="23" t="n">
        <x:v>30</x:v>
      </x:c>
      <x:c r="C658" s="23" t="str">
        <x:v>22386</x:v>
      </x:c>
      <x:c r="D658" s="23" t="str">
        <x:v>JUMBO BAG PINK POLKADOT</x:v>
      </x:c>
      <x:c r="E658" s="34" t="n">
        <x:v>456</x:v>
      </x:c>
      <x:c r="F658" s="55" t="n">
        <x:v>907.83</x:v>
      </x:c>
      <x:c r="G658" s="58" t="n">
        <x:f>E657</x:f>
        <x:v>611</x:v>
      </x:c>
      <x:c r="H658" s="58" t="n">
        <x:f>AVERAGE(E654:E657)</x:f>
        <x:v>435.5</x:v>
      </x:c>
      <x:c r="I658" s="58" t="n">
        <x:f>AVERAGE(E650:E657)</x:f>
        <x:v>379.5</x:v>
      </x:c>
      <x:c r="J658" s="58" t="n">
        <x:f>IF(G658="","",ABS(E658-G658))</x:f>
        <x:v>155</x:v>
      </x:c>
      <x:c r="K658" s="58" t="n">
        <x:f>IF(H658="","",ABS(E658-H658))</x:f>
        <x:v>20.5</x:v>
      </x:c>
      <x:c r="L658" s="58" t="n">
        <x:f>IF(I658="","",ABS(E658-I658))</x:f>
        <x:v>76.5</x:v>
      </x:c>
      <x:c r="M658" s="23" t="str">
        <x:f>IF(B658&gt;44,"Validation","Training")</x:f>
        <x:v>Training</x:v>
      </x:c>
      <x:c r="N658" s="61" t="n">
        <x:f>IF(OR(H658="",E658=0),"",K658/E658)</x:f>
        <x:v>0.044956140350877194</x:v>
      </x:c>
    </x:row>
    <x:row r="659">
      <x:c r="A659" s="28" t="n">
        <x:v>40728</x:v>
      </x:c>
      <x:c r="B659" s="23" t="n">
        <x:v>31</x:v>
      </x:c>
      <x:c r="C659" s="23" t="str">
        <x:v>22386</x:v>
      </x:c>
      <x:c r="D659" s="23" t="str">
        <x:v>JUMBO BAG PINK POLKADOT</x:v>
      </x:c>
      <x:c r="E659" s="34" t="n">
        <x:v>454</x:v>
      </x:c>
      <x:c r="F659" s="55" t="n">
        <x:v>939.32</x:v>
      </x:c>
      <x:c r="G659" s="58" t="n">
        <x:f>E658</x:f>
        <x:v>456</x:v>
      </x:c>
      <x:c r="H659" s="58" t="n">
        <x:f>AVERAGE(E655:E658)</x:f>
        <x:v>447</x:v>
      </x:c>
      <x:c r="I659" s="58" t="n">
        <x:f>AVERAGE(E651:E658)</x:f>
        <x:v>417.25</x:v>
      </x:c>
      <x:c r="J659" s="58" t="n">
        <x:f>IF(G659="","",ABS(E659-G659))</x:f>
        <x:v>2</x:v>
      </x:c>
      <x:c r="K659" s="58" t="n">
        <x:f>IF(H659="","",ABS(E659-H659))</x:f>
        <x:v>7</x:v>
      </x:c>
      <x:c r="L659" s="58" t="n">
        <x:f>IF(I659="","",ABS(E659-I659))</x:f>
        <x:v>36.75</x:v>
      </x:c>
      <x:c r="M659" s="23" t="str">
        <x:f>IF(B659&gt;44,"Validation","Training")</x:f>
        <x:v>Training</x:v>
      </x:c>
      <x:c r="N659" s="61" t="n">
        <x:f>IF(OR(H659="",E659=0),"",K659/E659)</x:f>
        <x:v>0.015418502202643172</x:v>
      </x:c>
    </x:row>
    <x:row r="660">
      <x:c r="A660" s="28" t="n">
        <x:v>40735</x:v>
      </x:c>
      <x:c r="B660" s="23" t="n">
        <x:v>32</x:v>
      </x:c>
      <x:c r="C660" s="23" t="str">
        <x:v>22386</x:v>
      </x:c>
      <x:c r="D660" s="23" t="str">
        <x:v>JUMBO BAG PINK POLKADOT</x:v>
      </x:c>
      <x:c r="E660" s="34" t="n">
        <x:v>315</x:v>
      </x:c>
      <x:c r="F660" s="55" t="n">
        <x:v>636.15</x:v>
      </x:c>
      <x:c r="G660" s="58" t="n">
        <x:f>E659</x:f>
        <x:v>454</x:v>
      </x:c>
      <x:c r="H660" s="58" t="n">
        <x:f>AVERAGE(E656:E659)</x:f>
        <x:v>441</x:v>
      </x:c>
      <x:c r="I660" s="58" t="n">
        <x:f>AVERAGE(E652:E659)</x:f>
        <x:v>423.875</x:v>
      </x:c>
      <x:c r="J660" s="58" t="n">
        <x:f>IF(G660="","",ABS(E660-G660))</x:f>
        <x:v>139</x:v>
      </x:c>
      <x:c r="K660" s="58" t="n">
        <x:f>IF(H660="","",ABS(E660-H660))</x:f>
        <x:v>126</x:v>
      </x:c>
      <x:c r="L660" s="58" t="n">
        <x:f>IF(I660="","",ABS(E660-I660))</x:f>
        <x:v>108.875</x:v>
      </x:c>
      <x:c r="M660" s="23" t="str">
        <x:f>IF(B660&gt;44,"Validation","Training")</x:f>
        <x:v>Training</x:v>
      </x:c>
      <x:c r="N660" s="61" t="n">
        <x:f>IF(OR(H660="",E660=0),"",K660/E660)</x:f>
        <x:v>0.4</x:v>
      </x:c>
    </x:row>
    <x:row r="661">
      <x:c r="A661" s="28" t="n">
        <x:v>40742</x:v>
      </x:c>
      <x:c r="B661" s="23" t="n">
        <x:v>33</x:v>
      </x:c>
      <x:c r="C661" s="23" t="str">
        <x:v>22386</x:v>
      </x:c>
      <x:c r="D661" s="23" t="str">
        <x:v>JUMBO BAG PINK POLKADOT</x:v>
      </x:c>
      <x:c r="E661" s="34" t="n">
        <x:v>307</x:v>
      </x:c>
      <x:c r="F661" s="55" t="n">
        <x:v>641.86</x:v>
      </x:c>
      <x:c r="G661" s="58" t="n">
        <x:f>E660</x:f>
        <x:v>315</x:v>
      </x:c>
      <x:c r="H661" s="58" t="n">
        <x:f>AVERAGE(E657:E660)</x:f>
        <x:v>459</x:v>
      </x:c>
      <x:c r="I661" s="58" t="n">
        <x:f>AVERAGE(E653:E660)</x:f>
        <x:v>440.875</x:v>
      </x:c>
      <x:c r="J661" s="58" t="n">
        <x:f>IF(G661="","",ABS(E661-G661))</x:f>
        <x:v>8</x:v>
      </x:c>
      <x:c r="K661" s="58" t="n">
        <x:f>IF(H661="","",ABS(E661-H661))</x:f>
        <x:v>152</x:v>
      </x:c>
      <x:c r="L661" s="58" t="n">
        <x:f>IF(I661="","",ABS(E661-I661))</x:f>
        <x:v>133.875</x:v>
      </x:c>
      <x:c r="M661" s="23" t="str">
        <x:f>IF(B661&gt;44,"Validation","Training")</x:f>
        <x:v>Training</x:v>
      </x:c>
      <x:c r="N661" s="61" t="n">
        <x:f>IF(OR(H661="",E661=0),"",K661/E661)</x:f>
        <x:v>0.495114006514658</x:v>
      </x:c>
    </x:row>
    <x:row r="662">
      <x:c r="A662" s="28" t="n">
        <x:v>40749</x:v>
      </x:c>
      <x:c r="B662" s="23" t="n">
        <x:v>34</x:v>
      </x:c>
      <x:c r="C662" s="23" t="str">
        <x:v>22386</x:v>
      </x:c>
      <x:c r="D662" s="23" t="str">
        <x:v>JUMBO BAG PINK POLKADOT</x:v>
      </x:c>
      <x:c r="E662" s="34" t="n">
        <x:v>403</x:v>
      </x:c>
      <x:c r="F662" s="55" t="n">
        <x:v>781.39</x:v>
      </x:c>
      <x:c r="G662" s="58" t="n">
        <x:f>E661</x:f>
        <x:v>307</x:v>
      </x:c>
      <x:c r="H662" s="58" t="n">
        <x:f>AVERAGE(E658:E661)</x:f>
        <x:v>383</x:v>
      </x:c>
      <x:c r="I662" s="58" t="n">
        <x:f>AVERAGE(E654:E661)</x:f>
        <x:v>409.25</x:v>
      </x:c>
      <x:c r="J662" s="58" t="n">
        <x:f>IF(G662="","",ABS(E662-G662))</x:f>
        <x:v>96</x:v>
      </x:c>
      <x:c r="K662" s="58" t="n">
        <x:f>IF(H662="","",ABS(E662-H662))</x:f>
        <x:v>20</x:v>
      </x:c>
      <x:c r="L662" s="58" t="n">
        <x:f>IF(I662="","",ABS(E662-I662))</x:f>
        <x:v>6.25</x:v>
      </x:c>
      <x:c r="M662" s="23" t="str">
        <x:f>IF(B662&gt;44,"Validation","Training")</x:f>
        <x:v>Training</x:v>
      </x:c>
      <x:c r="N662" s="61" t="n">
        <x:f>IF(OR(H662="",E662=0),"",K662/E662)</x:f>
        <x:v>0.04962779156327544</x:v>
      </x:c>
    </x:row>
    <x:row r="663">
      <x:c r="A663" s="28" t="n">
        <x:v>40756</x:v>
      </x:c>
      <x:c r="B663" s="23" t="n">
        <x:v>35</x:v>
      </x:c>
      <x:c r="C663" s="23" t="str">
        <x:v>22386</x:v>
      </x:c>
      <x:c r="D663" s="23" t="str">
        <x:v>JUMBO BAG PINK POLKADOT</x:v>
      </x:c>
      <x:c r="E663" s="34" t="n">
        <x:v>382</x:v>
      </x:c>
      <x:c r="F663" s="55" t="n">
        <x:v>741.81</x:v>
      </x:c>
      <x:c r="G663" s="58" t="n">
        <x:f>E662</x:f>
        <x:v>403</x:v>
      </x:c>
      <x:c r="H663" s="58" t="n">
        <x:f>AVERAGE(E659:E662)</x:f>
        <x:v>369.75</x:v>
      </x:c>
      <x:c r="I663" s="58" t="n">
        <x:f>AVERAGE(E655:E662)</x:f>
        <x:v>408.375</x:v>
      </x:c>
      <x:c r="J663" s="58" t="n">
        <x:f>IF(G663="","",ABS(E663-G663))</x:f>
        <x:v>21</x:v>
      </x:c>
      <x:c r="K663" s="58" t="n">
        <x:f>IF(H663="","",ABS(E663-H663))</x:f>
        <x:v>12.25</x:v>
      </x:c>
      <x:c r="L663" s="58" t="n">
        <x:f>IF(I663="","",ABS(E663-I663))</x:f>
        <x:v>26.375</x:v>
      </x:c>
      <x:c r="M663" s="23" t="str">
        <x:f>IF(B663&gt;44,"Validation","Training")</x:f>
        <x:v>Training</x:v>
      </x:c>
      <x:c r="N663" s="61" t="n">
        <x:f>IF(OR(H663="",E663=0),"",K663/E663)</x:f>
        <x:v>0.03206806282722513</x:v>
      </x:c>
    </x:row>
    <x:row r="664">
      <x:c r="A664" s="28" t="n">
        <x:v>40763</x:v>
      </x:c>
      <x:c r="B664" s="23" t="n">
        <x:v>36</x:v>
      </x:c>
      <x:c r="C664" s="23" t="str">
        <x:v>22386</x:v>
      </x:c>
      <x:c r="D664" s="23" t="str">
        <x:v>JUMBO BAG PINK POLKADOT</x:v>
      </x:c>
      <x:c r="E664" s="34" t="n">
        <x:v>551</x:v>
      </x:c>
      <x:c r="F664" s="55" t="n">
        <x:v>1276.68</x:v>
      </x:c>
      <x:c r="G664" s="58" t="n">
        <x:f>E663</x:f>
        <x:v>382</x:v>
      </x:c>
      <x:c r="H664" s="58" t="n">
        <x:f>AVERAGE(E660:E663)</x:f>
        <x:v>351.75</x:v>
      </x:c>
      <x:c r="I664" s="58" t="n">
        <x:f>AVERAGE(E656:E663)</x:f>
        <x:v>396.375</x:v>
      </x:c>
      <x:c r="J664" s="58" t="n">
        <x:f>IF(G664="","",ABS(E664-G664))</x:f>
        <x:v>169</x:v>
      </x:c>
      <x:c r="K664" s="58" t="n">
        <x:f>IF(H664="","",ABS(E664-H664))</x:f>
        <x:v>199.25</x:v>
      </x:c>
      <x:c r="L664" s="58" t="n">
        <x:f>IF(I664="","",ABS(E664-I664))</x:f>
        <x:v>154.625</x:v>
      </x:c>
      <x:c r="M664" s="23" t="str">
        <x:f>IF(B664&gt;44,"Validation","Training")</x:f>
        <x:v>Training</x:v>
      </x:c>
      <x:c r="N664" s="61" t="n">
        <x:f>IF(OR(H664="",E664=0),"",K664/E664)</x:f>
        <x:v>0.36161524500907444</x:v>
      </x:c>
    </x:row>
    <x:row r="665">
      <x:c r="A665" s="28" t="n">
        <x:v>40770</x:v>
      </x:c>
      <x:c r="B665" s="23" t="n">
        <x:v>37</x:v>
      </x:c>
      <x:c r="C665" s="23" t="str">
        <x:v>22386</x:v>
      </x:c>
      <x:c r="D665" s="23" t="str">
        <x:v>JUMBO BAG PINK POLKADOT</x:v>
      </x:c>
      <x:c r="E665" s="34" t="n">
        <x:v>586</x:v>
      </x:c>
      <x:c r="F665" s="55" t="n">
        <x:v>1143.98</x:v>
      </x:c>
      <x:c r="G665" s="58" t="n">
        <x:f>E664</x:f>
        <x:v>551</x:v>
      </x:c>
      <x:c r="H665" s="58" t="n">
        <x:f>AVERAGE(E661:E664)</x:f>
        <x:v>410.75</x:v>
      </x:c>
      <x:c r="I665" s="58" t="n">
        <x:f>AVERAGE(E657:E664)</x:f>
        <x:v>434.875</x:v>
      </x:c>
      <x:c r="J665" s="58" t="n">
        <x:f>IF(G665="","",ABS(E665-G665))</x:f>
        <x:v>35</x:v>
      </x:c>
      <x:c r="K665" s="58" t="n">
        <x:f>IF(H665="","",ABS(E665-H665))</x:f>
        <x:v>175.25</x:v>
      </x:c>
      <x:c r="L665" s="58" t="n">
        <x:f>IF(I665="","",ABS(E665-I665))</x:f>
        <x:v>151.125</x:v>
      </x:c>
      <x:c r="M665" s="23" t="str">
        <x:f>IF(B665&gt;44,"Validation","Training")</x:f>
        <x:v>Training</x:v>
      </x:c>
      <x:c r="N665" s="61" t="n">
        <x:f>IF(OR(H665="",E665=0),"",K665/E665)</x:f>
        <x:v>0.29906143344709896</x:v>
      </x:c>
    </x:row>
    <x:row r="666">
      <x:c r="A666" s="28" t="n">
        <x:v>40777</x:v>
      </x:c>
      <x:c r="B666" s="23" t="n">
        <x:v>38</x:v>
      </x:c>
      <x:c r="C666" s="23" t="str">
        <x:v>22386</x:v>
      </x:c>
      <x:c r="D666" s="23" t="str">
        <x:v>JUMBO BAG PINK POLKADOT</x:v>
      </x:c>
      <x:c r="E666" s="34" t="n">
        <x:v>619</x:v>
      </x:c>
      <x:c r="F666" s="55" t="n">
        <x:v>1232.22</x:v>
      </x:c>
      <x:c r="G666" s="58" t="n">
        <x:f>E665</x:f>
        <x:v>586</x:v>
      </x:c>
      <x:c r="H666" s="58" t="n">
        <x:f>AVERAGE(E662:E665)</x:f>
        <x:v>480.5</x:v>
      </x:c>
      <x:c r="I666" s="58" t="n">
        <x:f>AVERAGE(E658:E665)</x:f>
        <x:v>431.75</x:v>
      </x:c>
      <x:c r="J666" s="58" t="n">
        <x:f>IF(G666="","",ABS(E666-G666))</x:f>
        <x:v>33</x:v>
      </x:c>
      <x:c r="K666" s="58" t="n">
        <x:f>IF(H666="","",ABS(E666-H666))</x:f>
        <x:v>138.5</x:v>
      </x:c>
      <x:c r="L666" s="58" t="n">
        <x:f>IF(I666="","",ABS(E666-I666))</x:f>
        <x:v>187.25</x:v>
      </x:c>
      <x:c r="M666" s="23" t="str">
        <x:f>IF(B666&gt;44,"Validation","Training")</x:f>
        <x:v>Training</x:v>
      </x:c>
      <x:c r="N666" s="61" t="n">
        <x:f>IF(OR(H666="",E666=0),"",K666/E666)</x:f>
        <x:v>0.22374798061389337</x:v>
      </x:c>
    </x:row>
    <x:row r="667">
      <x:c r="A667" s="28" t="n">
        <x:v>40784</x:v>
      </x:c>
      <x:c r="B667" s="23" t="n">
        <x:v>39</x:v>
      </x:c>
      <x:c r="C667" s="23" t="str">
        <x:v>22386</x:v>
      </x:c>
      <x:c r="D667" s="23" t="str">
        <x:v>JUMBO BAG PINK POLKADOT</x:v>
      </x:c>
      <x:c r="E667" s="34" t="n">
        <x:v>248</x:v>
      </x:c>
      <x:c r="F667" s="55" t="n">
        <x:v>573.29</x:v>
      </x:c>
      <x:c r="G667" s="58" t="n">
        <x:f>E666</x:f>
        <x:v>619</x:v>
      </x:c>
      <x:c r="H667" s="58" t="n">
        <x:f>AVERAGE(E663:E666)</x:f>
        <x:v>534.5</x:v>
      </x:c>
      <x:c r="I667" s="58" t="n">
        <x:f>AVERAGE(E659:E666)</x:f>
        <x:v>452.125</x:v>
      </x:c>
      <x:c r="J667" s="58" t="n">
        <x:f>IF(G667="","",ABS(E667-G667))</x:f>
        <x:v>371</x:v>
      </x:c>
      <x:c r="K667" s="58" t="n">
        <x:f>IF(H667="","",ABS(E667-H667))</x:f>
        <x:v>286.5</x:v>
      </x:c>
      <x:c r="L667" s="58" t="n">
        <x:f>IF(I667="","",ABS(E667-I667))</x:f>
        <x:v>204.125</x:v>
      </x:c>
      <x:c r="M667" s="23" t="str">
        <x:f>IF(B667&gt;44,"Validation","Training")</x:f>
        <x:v>Training</x:v>
      </x:c>
      <x:c r="N667" s="61" t="n">
        <x:f>IF(OR(H667="",E667=0),"",K667/E667)</x:f>
        <x:v>1.155241935483871</x:v>
      </x:c>
    </x:row>
    <x:row r="668">
      <x:c r="A668" s="28" t="n">
        <x:v>40791</x:v>
      </x:c>
      <x:c r="B668" s="23" t="n">
        <x:v>40</x:v>
      </x:c>
      <x:c r="C668" s="23" t="str">
        <x:v>22386</x:v>
      </x:c>
      <x:c r="D668" s="23" t="str">
        <x:v>JUMBO BAG PINK POLKADOT</x:v>
      </x:c>
      <x:c r="E668" s="34" t="n">
        <x:v>657</x:v>
      </x:c>
      <x:c r="F668" s="55" t="n">
        <x:v>1326.41</x:v>
      </x:c>
      <x:c r="G668" s="58" t="n">
        <x:f>E667</x:f>
        <x:v>248</x:v>
      </x:c>
      <x:c r="H668" s="58" t="n">
        <x:f>AVERAGE(E664:E667)</x:f>
        <x:v>501</x:v>
      </x:c>
      <x:c r="I668" s="58" t="n">
        <x:f>AVERAGE(E660:E667)</x:f>
        <x:v>426.375</x:v>
      </x:c>
      <x:c r="J668" s="58" t="n">
        <x:f>IF(G668="","",ABS(E668-G668))</x:f>
        <x:v>409</x:v>
      </x:c>
      <x:c r="K668" s="58" t="n">
        <x:f>IF(H668="","",ABS(E668-H668))</x:f>
        <x:v>156</x:v>
      </x:c>
      <x:c r="L668" s="58" t="n">
        <x:f>IF(I668="","",ABS(E668-I668))</x:f>
        <x:v>230.625</x:v>
      </x:c>
      <x:c r="M668" s="23" t="str">
        <x:f>IF(B668&gt;44,"Validation","Training")</x:f>
        <x:v>Training</x:v>
      </x:c>
      <x:c r="N668" s="61" t="n">
        <x:f>IF(OR(H668="",E668=0),"",K668/E668)</x:f>
        <x:v>0.2374429223744292</x:v>
      </x:c>
    </x:row>
    <x:row r="669">
      <x:c r="A669" s="28" t="n">
        <x:v>40798</x:v>
      </x:c>
      <x:c r="B669" s="23" t="n">
        <x:v>41</x:v>
      </x:c>
      <x:c r="C669" s="23" t="str">
        <x:v>22386</x:v>
      </x:c>
      <x:c r="D669" s="23" t="str">
        <x:v>JUMBO BAG PINK POLKADOT</x:v>
      </x:c>
      <x:c r="E669" s="34" t="n">
        <x:v>478</x:v>
      </x:c>
      <x:c r="F669" s="55" t="n">
        <x:v>985.14</x:v>
      </x:c>
      <x:c r="G669" s="58" t="n">
        <x:f>E668</x:f>
        <x:v>657</x:v>
      </x:c>
      <x:c r="H669" s="58" t="n">
        <x:f>AVERAGE(E665:E668)</x:f>
        <x:v>527.5</x:v>
      </x:c>
      <x:c r="I669" s="58" t="n">
        <x:f>AVERAGE(E661:E668)</x:f>
        <x:v>469.125</x:v>
      </x:c>
      <x:c r="J669" s="58" t="n">
        <x:f>IF(G669="","",ABS(E669-G669))</x:f>
        <x:v>179</x:v>
      </x:c>
      <x:c r="K669" s="58" t="n">
        <x:f>IF(H669="","",ABS(E669-H669))</x:f>
        <x:v>49.5</x:v>
      </x:c>
      <x:c r="L669" s="58" t="n">
        <x:f>IF(I669="","",ABS(E669-I669))</x:f>
        <x:v>8.875</x:v>
      </x:c>
      <x:c r="M669" s="23" t="str">
        <x:f>IF(B669&gt;44,"Validation","Training")</x:f>
        <x:v>Training</x:v>
      </x:c>
      <x:c r="N669" s="61" t="n">
        <x:f>IF(OR(H669="",E669=0),"",K669/E669)</x:f>
        <x:v>0.10355648535564854</x:v>
      </x:c>
    </x:row>
    <x:row r="670">
      <x:c r="A670" s="28" t="n">
        <x:v>40805</x:v>
      </x:c>
      <x:c r="B670" s="23" t="n">
        <x:v>42</x:v>
      </x:c>
      <x:c r="C670" s="23" t="str">
        <x:v>22386</x:v>
      </x:c>
      <x:c r="D670" s="23" t="str">
        <x:v>JUMBO BAG PINK POLKADOT</x:v>
      </x:c>
      <x:c r="E670" s="34" t="n">
        <x:v>809</x:v>
      </x:c>
      <x:c r="F670" s="55" t="n">
        <x:v>1576.12</x:v>
      </x:c>
      <x:c r="G670" s="58" t="n">
        <x:f>E669</x:f>
        <x:v>478</x:v>
      </x:c>
      <x:c r="H670" s="58" t="n">
        <x:f>AVERAGE(E666:E669)</x:f>
        <x:v>500.5</x:v>
      </x:c>
      <x:c r="I670" s="58" t="n">
        <x:f>AVERAGE(E662:E669)</x:f>
        <x:v>490.5</x:v>
      </x:c>
      <x:c r="J670" s="58" t="n">
        <x:f>IF(G670="","",ABS(E670-G670))</x:f>
        <x:v>331</x:v>
      </x:c>
      <x:c r="K670" s="58" t="n">
        <x:f>IF(H670="","",ABS(E670-H670))</x:f>
        <x:v>308.5</x:v>
      </x:c>
      <x:c r="L670" s="58" t="n">
        <x:f>IF(I670="","",ABS(E670-I670))</x:f>
        <x:v>318.5</x:v>
      </x:c>
      <x:c r="M670" s="23" t="str">
        <x:f>IF(B670&gt;44,"Validation","Training")</x:f>
        <x:v>Training</x:v>
      </x:c>
      <x:c r="N670" s="61" t="n">
        <x:f>IF(OR(H670="",E670=0),"",K670/E670)</x:f>
        <x:v>0.38133498145859085</x:v>
      </x:c>
    </x:row>
    <x:row r="671">
      <x:c r="A671" s="28" t="n">
        <x:v>40812</x:v>
      </x:c>
      <x:c r="B671" s="23" t="n">
        <x:v>43</x:v>
      </x:c>
      <x:c r="C671" s="23" t="str">
        <x:v>22386</x:v>
      </x:c>
      <x:c r="D671" s="23" t="str">
        <x:v>JUMBO BAG PINK POLKADOT</x:v>
      </x:c>
      <x:c r="E671" s="34" t="n">
        <x:v>665</x:v>
      </x:c>
      <x:c r="F671" s="55" t="n">
        <x:v>1263.25</x:v>
      </x:c>
      <x:c r="G671" s="58" t="n">
        <x:f>E670</x:f>
        <x:v>809</x:v>
      </x:c>
      <x:c r="H671" s="58" t="n">
        <x:f>AVERAGE(E667:E670)</x:f>
        <x:v>548</x:v>
      </x:c>
      <x:c r="I671" s="58" t="n">
        <x:f>AVERAGE(E663:E670)</x:f>
        <x:v>541.25</x:v>
      </x:c>
      <x:c r="J671" s="58" t="n">
        <x:f>IF(G671="","",ABS(E671-G671))</x:f>
        <x:v>144</x:v>
      </x:c>
      <x:c r="K671" s="58" t="n">
        <x:f>IF(H671="","",ABS(E671-H671))</x:f>
        <x:v>117</x:v>
      </x:c>
      <x:c r="L671" s="58" t="n">
        <x:f>IF(I671="","",ABS(E671-I671))</x:f>
        <x:v>123.75</x:v>
      </x:c>
      <x:c r="M671" s="23" t="str">
        <x:f>IF(B671&gt;44,"Validation","Training")</x:f>
        <x:v>Training</x:v>
      </x:c>
      <x:c r="N671" s="61" t="n">
        <x:f>IF(OR(H671="",E671=0),"",K671/E671)</x:f>
        <x:v>0.17593984962406015</x:v>
      </x:c>
    </x:row>
    <x:row r="672">
      <x:c r="A672" s="28" t="n">
        <x:v>40819</x:v>
      </x:c>
      <x:c r="B672" s="23" t="n">
        <x:v>44</x:v>
      </x:c>
      <x:c r="C672" s="23" t="str">
        <x:v>22386</x:v>
      </x:c>
      <x:c r="D672" s="23" t="str">
        <x:v>JUMBO BAG PINK POLKADOT</x:v>
      </x:c>
      <x:c r="E672" s="34" t="n">
        <x:v>1649</x:v>
      </x:c>
      <x:c r="F672" s="55" t="n">
        <x:v>3027.97</x:v>
      </x:c>
      <x:c r="G672" s="58" t="n">
        <x:f>E671</x:f>
        <x:v>665</x:v>
      </x:c>
      <x:c r="H672" s="58" t="n">
        <x:f>AVERAGE(E668:E671)</x:f>
        <x:v>652.25</x:v>
      </x:c>
      <x:c r="I672" s="58" t="n">
        <x:f>AVERAGE(E664:E671)</x:f>
        <x:v>576.625</x:v>
      </x:c>
      <x:c r="J672" s="58" t="n">
        <x:f>IF(G672="","",ABS(E672-G672))</x:f>
        <x:v>984</x:v>
      </x:c>
      <x:c r="K672" s="58" t="n">
        <x:f>IF(H672="","",ABS(E672-H672))</x:f>
        <x:v>996.75</x:v>
      </x:c>
      <x:c r="L672" s="58" t="n">
        <x:f>IF(I672="","",ABS(E672-I672))</x:f>
        <x:v>1072.375</x:v>
      </x:c>
      <x:c r="M672" s="23" t="str">
        <x:f>IF(B672&gt;44,"Validation","Training")</x:f>
        <x:v>Training</x:v>
      </x:c>
      <x:c r="N672" s="61" t="n">
        <x:f>IF(OR(H672="",E672=0),"",K672/E672)</x:f>
        <x:v>0.6044572468162522</x:v>
      </x:c>
    </x:row>
    <x:row r="673">
      <x:c r="A673" s="28" t="n">
        <x:v>40826</x:v>
      </x:c>
      <x:c r="B673" s="23" t="n">
        <x:v>45</x:v>
      </x:c>
      <x:c r="C673" s="23" t="str">
        <x:v>22386</x:v>
      </x:c>
      <x:c r="D673" s="23" t="str">
        <x:v>JUMBO BAG PINK POLKADOT</x:v>
      </x:c>
      <x:c r="E673" s="34" t="n">
        <x:v>437</x:v>
      </x:c>
      <x:c r="F673" s="55" t="n">
        <x:v>850.91</x:v>
      </x:c>
      <x:c r="G673" s="58" t="n">
        <x:f>E672</x:f>
        <x:v>1649</x:v>
      </x:c>
      <x:c r="H673" s="58" t="n">
        <x:f>AVERAGE(E669:E672)</x:f>
        <x:v>900.25</x:v>
      </x:c>
      <x:c r="I673" s="58" t="n">
        <x:f>AVERAGE(E665:E672)</x:f>
        <x:v>713.875</x:v>
      </x:c>
      <x:c r="J673" s="58" t="n">
        <x:f>IF(G673="","",ABS(E673-G673))</x:f>
        <x:v>1212</x:v>
      </x:c>
      <x:c r="K673" s="58" t="n">
        <x:f>IF(H673="","",ABS(E673-H673))</x:f>
        <x:v>463.25</x:v>
      </x:c>
      <x:c r="L673" s="58" t="n">
        <x:f>IF(I673="","",ABS(E673-I673))</x:f>
        <x:v>276.875</x:v>
      </x:c>
      <x:c r="M673" s="23" t="str">
        <x:f>IF(B673&gt;44,"Validation","Training")</x:f>
        <x:v>Validation</x:v>
      </x:c>
      <x:c r="N673" s="61" t="n">
        <x:f>IF(OR(H673="",E673=0),"",K673/E673)</x:f>
        <x:v>1.0600686498855836</x:v>
      </x:c>
    </x:row>
    <x:row r="674">
      <x:c r="A674" s="28" t="n">
        <x:v>40833</x:v>
      </x:c>
      <x:c r="B674" s="23" t="n">
        <x:v>46</x:v>
      </x:c>
      <x:c r="C674" s="23" t="str">
        <x:v>22386</x:v>
      </x:c>
      <x:c r="D674" s="23" t="str">
        <x:v>JUMBO BAG PINK POLKADOT</x:v>
      </x:c>
      <x:c r="E674" s="34" t="n">
        <x:v>334</x:v>
      </x:c>
      <x:c r="F674" s="55" t="n">
        <x:v>669.52</x:v>
      </x:c>
      <x:c r="G674" s="58" t="n">
        <x:f>E673</x:f>
        <x:v>437</x:v>
      </x:c>
      <x:c r="H674" s="58" t="n">
        <x:f>AVERAGE(E670:E673)</x:f>
        <x:v>890</x:v>
      </x:c>
      <x:c r="I674" s="58" t="n">
        <x:f>AVERAGE(E666:E673)</x:f>
        <x:v>695.25</x:v>
      </x:c>
      <x:c r="J674" s="58" t="n">
        <x:f>IF(G674="","",ABS(E674-G674))</x:f>
        <x:v>103</x:v>
      </x:c>
      <x:c r="K674" s="58" t="n">
        <x:f>IF(H674="","",ABS(E674-H674))</x:f>
        <x:v>556</x:v>
      </x:c>
      <x:c r="L674" s="58" t="n">
        <x:f>IF(I674="","",ABS(E674-I674))</x:f>
        <x:v>361.25</x:v>
      </x:c>
      <x:c r="M674" s="23" t="str">
        <x:f>IF(B674&gt;44,"Validation","Training")</x:f>
        <x:v>Validation</x:v>
      </x:c>
      <x:c r="N674" s="61" t="n">
        <x:f>IF(OR(H674="",E674=0),"",K674/E674)</x:f>
        <x:v>1.6646706586826348</x:v>
      </x:c>
    </x:row>
    <x:row r="675">
      <x:c r="A675" s="28" t="n">
        <x:v>40840</x:v>
      </x:c>
      <x:c r="B675" s="23" t="n">
        <x:v>47</x:v>
      </x:c>
      <x:c r="C675" s="23" t="str">
        <x:v>22386</x:v>
      </x:c>
      <x:c r="D675" s="23" t="str">
        <x:v>JUMBO BAG PINK POLKADOT</x:v>
      </x:c>
      <x:c r="E675" s="34" t="n">
        <x:v>743</x:v>
      </x:c>
      <x:c r="F675" s="55" t="n">
        <x:v>1422.69</x:v>
      </x:c>
      <x:c r="G675" s="58" t="n">
        <x:f>E674</x:f>
        <x:v>334</x:v>
      </x:c>
      <x:c r="H675" s="58" t="n">
        <x:f>AVERAGE(E671:E674)</x:f>
        <x:v>771.25</x:v>
      </x:c>
      <x:c r="I675" s="58" t="n">
        <x:f>AVERAGE(E667:E674)</x:f>
        <x:v>659.625</x:v>
      </x:c>
      <x:c r="J675" s="58" t="n">
        <x:f>IF(G675="","",ABS(E675-G675))</x:f>
        <x:v>409</x:v>
      </x:c>
      <x:c r="K675" s="58" t="n">
        <x:f>IF(H675="","",ABS(E675-H675))</x:f>
        <x:v>28.25</x:v>
      </x:c>
      <x:c r="L675" s="58" t="n">
        <x:f>IF(I675="","",ABS(E675-I675))</x:f>
        <x:v>83.375</x:v>
      </x:c>
      <x:c r="M675" s="23" t="str">
        <x:f>IF(B675&gt;44,"Validation","Training")</x:f>
        <x:v>Validation</x:v>
      </x:c>
      <x:c r="N675" s="61" t="n">
        <x:f>IF(OR(H675="",E675=0),"",K675/E675)</x:f>
        <x:v>0.038021534320323014</x:v>
      </x:c>
    </x:row>
    <x:row r="676">
      <x:c r="A676" s="28" t="n">
        <x:v>40847</x:v>
      </x:c>
      <x:c r="B676" s="23" t="n">
        <x:v>48</x:v>
      </x:c>
      <x:c r="C676" s="23" t="str">
        <x:v>22386</x:v>
      </x:c>
      <x:c r="D676" s="23" t="str">
        <x:v>JUMBO BAG PINK POLKADOT</x:v>
      </x:c>
      <x:c r="E676" s="34" t="n">
        <x:v>313</x:v>
      </x:c>
      <x:c r="F676" s="55" t="n">
        <x:v>683.04</x:v>
      </x:c>
      <x:c r="G676" s="58" t="n">
        <x:f>E675</x:f>
        <x:v>743</x:v>
      </x:c>
      <x:c r="H676" s="58" t="n">
        <x:f>AVERAGE(E672:E675)</x:f>
        <x:v>790.75</x:v>
      </x:c>
      <x:c r="I676" s="58" t="n">
        <x:f>AVERAGE(E668:E675)</x:f>
        <x:v>721.5</x:v>
      </x:c>
      <x:c r="J676" s="58" t="n">
        <x:f>IF(G676="","",ABS(E676-G676))</x:f>
        <x:v>430</x:v>
      </x:c>
      <x:c r="K676" s="58" t="n">
        <x:f>IF(H676="","",ABS(E676-H676))</x:f>
        <x:v>477.75</x:v>
      </x:c>
      <x:c r="L676" s="58" t="n">
        <x:f>IF(I676="","",ABS(E676-I676))</x:f>
        <x:v>408.5</x:v>
      </x:c>
      <x:c r="M676" s="23" t="str">
        <x:f>IF(B676&gt;44,"Validation","Training")</x:f>
        <x:v>Validation</x:v>
      </x:c>
      <x:c r="N676" s="61" t="n">
        <x:f>IF(OR(H676="",E676=0),"",K676/E676)</x:f>
        <x:v>1.5263578274760383</x:v>
      </x:c>
    </x:row>
    <x:row r="677">
      <x:c r="A677" s="28" t="n">
        <x:v>40854</x:v>
      </x:c>
      <x:c r="B677" s="23" t="n">
        <x:v>49</x:v>
      </x:c>
      <x:c r="C677" s="23" t="str">
        <x:v>22386</x:v>
      </x:c>
      <x:c r="D677" s="23" t="str">
        <x:v>JUMBO BAG PINK POLKADOT</x:v>
      </x:c>
      <x:c r="E677" s="34" t="n">
        <x:v>516</x:v>
      </x:c>
      <x:c r="F677" s="55" t="n">
        <x:v>1070.33</x:v>
      </x:c>
      <x:c r="G677" s="58" t="n">
        <x:f>E676</x:f>
        <x:v>313</x:v>
      </x:c>
      <x:c r="H677" s="58" t="n">
        <x:f>AVERAGE(E673:E676)</x:f>
        <x:v>456.75</x:v>
      </x:c>
      <x:c r="I677" s="58" t="n">
        <x:f>AVERAGE(E669:E676)</x:f>
        <x:v>678.5</x:v>
      </x:c>
      <x:c r="J677" s="58" t="n">
        <x:f>IF(G677="","",ABS(E677-G677))</x:f>
        <x:v>203</x:v>
      </x:c>
      <x:c r="K677" s="58" t="n">
        <x:f>IF(H677="","",ABS(E677-H677))</x:f>
        <x:v>59.25</x:v>
      </x:c>
      <x:c r="L677" s="58" t="n">
        <x:f>IF(I677="","",ABS(E677-I677))</x:f>
        <x:v>162.5</x:v>
      </x:c>
      <x:c r="M677" s="23" t="str">
        <x:f>IF(B677&gt;44,"Validation","Training")</x:f>
        <x:v>Validation</x:v>
      </x:c>
      <x:c r="N677" s="61" t="n">
        <x:f>IF(OR(H677="",E677=0),"",K677/E677)</x:f>
        <x:v>0.11482558139534883</x:v>
      </x:c>
    </x:row>
    <x:row r="678">
      <x:c r="A678" s="28" t="n">
        <x:v>40861</x:v>
      </x:c>
      <x:c r="B678" s="23" t="n">
        <x:v>50</x:v>
      </x:c>
      <x:c r="C678" s="23" t="str">
        <x:v>22386</x:v>
      </x:c>
      <x:c r="D678" s="23" t="str">
        <x:v>JUMBO BAG PINK POLKADOT</x:v>
      </x:c>
      <x:c r="E678" s="34" t="n">
        <x:v>522</x:v>
      </x:c>
      <x:c r="F678" s="55" t="n">
        <x:v>1035.76</x:v>
      </x:c>
      <x:c r="G678" s="58" t="n">
        <x:f>E677</x:f>
        <x:v>516</x:v>
      </x:c>
      <x:c r="H678" s="58" t="n">
        <x:f>AVERAGE(E674:E677)</x:f>
        <x:v>476.5</x:v>
      </x:c>
      <x:c r="I678" s="58" t="n">
        <x:f>AVERAGE(E670:E677)</x:f>
        <x:v>683.25</x:v>
      </x:c>
      <x:c r="J678" s="58" t="n">
        <x:f>IF(G678="","",ABS(E678-G678))</x:f>
        <x:v>6</x:v>
      </x:c>
      <x:c r="K678" s="58" t="n">
        <x:f>IF(H678="","",ABS(E678-H678))</x:f>
        <x:v>45.5</x:v>
      </x:c>
      <x:c r="L678" s="58" t="n">
        <x:f>IF(I678="","",ABS(E678-I678))</x:f>
        <x:v>161.25</x:v>
      </x:c>
      <x:c r="M678" s="23" t="str">
        <x:f>IF(B678&gt;44,"Validation","Training")</x:f>
        <x:v>Validation</x:v>
      </x:c>
      <x:c r="N678" s="61" t="n">
        <x:f>IF(OR(H678="",E678=0),"",K678/E678)</x:f>
        <x:v>0.0871647509578544</x:v>
      </x:c>
    </x:row>
    <x:row r="679">
      <x:c r="A679" s="28" t="n">
        <x:v>40868</x:v>
      </x:c>
      <x:c r="B679" s="23" t="n">
        <x:v>51</x:v>
      </x:c>
      <x:c r="C679" s="23" t="str">
        <x:v>22386</x:v>
      </x:c>
      <x:c r="D679" s="23" t="str">
        <x:v>JUMBO BAG PINK POLKADOT</x:v>
      </x:c>
      <x:c r="E679" s="34" t="n">
        <x:v>253</x:v>
      </x:c>
      <x:c r="F679" s="55" t="n">
        <x:v>562.84</x:v>
      </x:c>
      <x:c r="G679" s="58" t="n">
        <x:f>E678</x:f>
        <x:v>522</x:v>
      </x:c>
      <x:c r="H679" s="58" t="n">
        <x:f>AVERAGE(E675:E678)</x:f>
        <x:v>523.5</x:v>
      </x:c>
      <x:c r="I679" s="58" t="n">
        <x:f>AVERAGE(E671:E678)</x:f>
        <x:v>647.375</x:v>
      </x:c>
      <x:c r="J679" s="58" t="n">
        <x:f>IF(G679="","",ABS(E679-G679))</x:f>
        <x:v>269</x:v>
      </x:c>
      <x:c r="K679" s="58" t="n">
        <x:f>IF(H679="","",ABS(E679-H679))</x:f>
        <x:v>270.5</x:v>
      </x:c>
      <x:c r="L679" s="58" t="n">
        <x:f>IF(I679="","",ABS(E679-I679))</x:f>
        <x:v>394.375</x:v>
      </x:c>
      <x:c r="M679" s="23" t="str">
        <x:f>IF(B679&gt;44,"Validation","Training")</x:f>
        <x:v>Validation</x:v>
      </x:c>
      <x:c r="N679" s="61" t="n">
        <x:f>IF(OR(H679="",E679=0),"",K679/E679)</x:f>
        <x:v>1.0691699604743083</x:v>
      </x:c>
    </x:row>
    <x:row r="680">
      <x:c r="A680" s="28" t="n">
        <x:v>40875</x:v>
      </x:c>
      <x:c r="B680" s="23" t="n">
        <x:v>52</x:v>
      </x:c>
      <x:c r="C680" s="23" t="str">
        <x:v>22386</x:v>
      </x:c>
      <x:c r="D680" s="23" t="str">
        <x:v>JUMBO BAG PINK POLKADOT</x:v>
      </x:c>
      <x:c r="E680" s="34" t="n">
        <x:v>436</x:v>
      </x:c>
      <x:c r="F680" s="55" t="n">
        <x:v>862.93</x:v>
      </x:c>
      <x:c r="G680" s="58" t="n">
        <x:f>E679</x:f>
        <x:v>253</x:v>
      </x:c>
      <x:c r="H680" s="58" t="n">
        <x:f>AVERAGE(E676:E679)</x:f>
        <x:v>401</x:v>
      </x:c>
      <x:c r="I680" s="58" t="n">
        <x:f>AVERAGE(E672:E679)</x:f>
        <x:v>595.875</x:v>
      </x:c>
      <x:c r="J680" s="58" t="n">
        <x:f>IF(G680="","",ABS(E680-G680))</x:f>
        <x:v>183</x:v>
      </x:c>
      <x:c r="K680" s="58" t="n">
        <x:f>IF(H680="","",ABS(E680-H680))</x:f>
        <x:v>35</x:v>
      </x:c>
      <x:c r="L680" s="58" t="n">
        <x:f>IF(I680="","",ABS(E680-I680))</x:f>
        <x:v>159.875</x:v>
      </x:c>
      <x:c r="M680" s="23" t="str">
        <x:f>IF(B680&gt;44,"Validation","Training")</x:f>
        <x:v>Validation</x:v>
      </x:c>
      <x:c r="N680" s="61" t="n">
        <x:f>IF(OR(H680="",E680=0),"",K680/E680)</x:f>
        <x:v>0.08027522935779817</x:v>
      </x:c>
    </x:row>
    <x:row r="681">
      <x:c r="A681" s="28" t="n">
        <x:v>40518</x:v>
      </x:c>
      <x:c r="B681" s="23" t="n">
        <x:v>1</x:v>
      </x:c>
      <x:c r="C681" s="23" t="str">
        <x:v>23203</x:v>
      </x:c>
      <x:c r="D681" s="23" t="str">
        <x:v>JUMBO BAG VINTAGE DOILY</x:v>
      </x:c>
      <x:c r="E681" s="34" t="n">
        <x:v>0</x:v>
      </x:c>
      <x:c r="F681" s="55" t="n">
        <x:v>0</x:v>
      </x:c>
      <x:c r="G681" s="58" t="str">
        <x:f>""</x:f>
      </x:c>
      <x:c r="H681" s="58" t="str">
        <x:f>""</x:f>
      </x:c>
      <x:c r="I681" s="58" t="str">
        <x:f>""</x:f>
      </x:c>
      <x:c r="J681" s="58" t="str">
        <x:f>IF(G681="","",ABS(E681-G681))</x:f>
      </x:c>
      <x:c r="K681" s="58" t="str">
        <x:f>IF(H681="","",ABS(E681-H681))</x:f>
      </x:c>
      <x:c r="L681" s="58" t="str">
        <x:f>IF(I681="","",ABS(E681-I681))</x:f>
      </x:c>
      <x:c r="M681" s="23" t="str">
        <x:f>IF(B681&gt;44,"Validation","Training")</x:f>
        <x:v>Training</x:v>
      </x:c>
      <x:c r="N681" s="61" t="str">
        <x:f>IF(OR(H681="",E681=0),"",K681/E681)</x:f>
      </x:c>
    </x:row>
    <x:row r="682">
      <x:c r="A682" s="28" t="n">
        <x:v>40525</x:v>
      </x:c>
      <x:c r="B682" s="23" t="n">
        <x:v>2</x:v>
      </x:c>
      <x:c r="C682" s="23" t="str">
        <x:v>23203</x:v>
      </x:c>
      <x:c r="D682" s="23" t="str">
        <x:v>JUMBO BAG VINTAGE DOILY</x:v>
      </x:c>
      <x:c r="E682" s="34" t="n">
        <x:v>0</x:v>
      </x:c>
      <x:c r="F682" s="55" t="n">
        <x:v>0</x:v>
      </x:c>
      <x:c r="G682" s="58" t="n">
        <x:f>E681</x:f>
        <x:v>0</x:v>
      </x:c>
      <x:c r="H682" s="58" t="str">
        <x:f>""</x:f>
      </x:c>
      <x:c r="I682" s="58" t="str">
        <x:f>""</x:f>
      </x:c>
      <x:c r="J682" s="58" t="str">
        <x:f>IF(G682="","",ABS(E682-G682))</x:f>
      </x:c>
      <x:c r="K682" s="58" t="str">
        <x:f>IF(H682="","",ABS(E682-H682))</x:f>
      </x:c>
      <x:c r="L682" s="58" t="str">
        <x:f>IF(I682="","",ABS(E682-I682))</x:f>
      </x:c>
      <x:c r="M682" s="23" t="str">
        <x:f>IF(B682&gt;44,"Validation","Training")</x:f>
        <x:v>Training</x:v>
      </x:c>
      <x:c r="N682" s="61" t="str">
        <x:f>IF(OR(H682="",E682=0),"",K682/E682)</x:f>
      </x:c>
    </x:row>
    <x:row r="683">
      <x:c r="A683" s="28" t="n">
        <x:v>40532</x:v>
      </x:c>
      <x:c r="B683" s="23" t="n">
        <x:v>3</x:v>
      </x:c>
      <x:c r="C683" s="23" t="str">
        <x:v>23203</x:v>
      </x:c>
      <x:c r="D683" s="23" t="str">
        <x:v>JUMBO BAG VINTAGE DOILY</x:v>
      </x:c>
      <x:c r="E683" s="34" t="n">
        <x:v>0</x:v>
      </x:c>
      <x:c r="F683" s="55" t="n">
        <x:v>0</x:v>
      </x:c>
      <x:c r="G683" s="58" t="n">
        <x:f>E682</x:f>
        <x:v>0</x:v>
      </x:c>
      <x:c r="H683" s="58" t="str">
        <x:f>""</x:f>
      </x:c>
      <x:c r="I683" s="58" t="str">
        <x:f>""</x:f>
      </x:c>
      <x:c r="J683" s="58" t="str">
        <x:f>IF(G683="","",ABS(E683-G683))</x:f>
      </x:c>
      <x:c r="K683" s="58" t="str">
        <x:f>IF(H683="","",ABS(E683-H683))</x:f>
      </x:c>
      <x:c r="L683" s="58" t="str">
        <x:f>IF(I683="","",ABS(E683-I683))</x:f>
      </x:c>
      <x:c r="M683" s="23" t="str">
        <x:f>IF(B683&gt;44,"Validation","Training")</x:f>
        <x:v>Training</x:v>
      </x:c>
      <x:c r="N683" s="61" t="str">
        <x:f>IF(OR(H683="",E683=0),"",K683/E683)</x:f>
      </x:c>
    </x:row>
    <x:row r="684">
      <x:c r="A684" s="28" t="n">
        <x:v>40539</x:v>
      </x:c>
      <x:c r="B684" s="23" t="n">
        <x:v>4</x:v>
      </x:c>
      <x:c r="C684" s="23" t="str">
        <x:v>23203</x:v>
      </x:c>
      <x:c r="D684" s="23" t="str">
        <x:v>JUMBO BAG VINTAGE DOILY</x:v>
      </x:c>
      <x:c r="E684" s="34" t="n">
        <x:v>0</x:v>
      </x:c>
      <x:c r="F684" s="55" t="n">
        <x:v>0</x:v>
      </x:c>
      <x:c r="G684" s="58" t="n">
        <x:f>E683</x:f>
        <x:v>0</x:v>
      </x:c>
      <x:c r="H684" s="58" t="str">
        <x:f>""</x:f>
      </x:c>
      <x:c r="I684" s="58" t="str">
        <x:f>""</x:f>
      </x:c>
      <x:c r="J684" s="58" t="str">
        <x:f>IF(G684="","",ABS(E684-G684))</x:f>
      </x:c>
      <x:c r="K684" s="58" t="str">
        <x:f>IF(H684="","",ABS(E684-H684))</x:f>
      </x:c>
      <x:c r="L684" s="58" t="str">
        <x:f>IF(I684="","",ABS(E684-I684))</x:f>
      </x:c>
      <x:c r="M684" s="23" t="str">
        <x:f>IF(B684&gt;44,"Validation","Training")</x:f>
        <x:v>Training</x:v>
      </x:c>
      <x:c r="N684" s="61" t="str">
        <x:f>IF(OR(H684="",E684=0),"",K684/E684)</x:f>
      </x:c>
    </x:row>
    <x:row r="685">
      <x:c r="A685" s="28" t="n">
        <x:v>40546</x:v>
      </x:c>
      <x:c r="B685" s="23" t="n">
        <x:v>5</x:v>
      </x:c>
      <x:c r="C685" s="23" t="str">
        <x:v>23203</x:v>
      </x:c>
      <x:c r="D685" s="23" t="str">
        <x:v>JUMBO BAG VINTAGE DOILY</x:v>
      </x:c>
      <x:c r="E685" s="34" t="n">
        <x:v>0</x:v>
      </x:c>
      <x:c r="F685" s="55" t="n">
        <x:v>0</x:v>
      </x:c>
      <x:c r="G685" s="58" t="n">
        <x:f>E684</x:f>
        <x:v>0</x:v>
      </x:c>
      <x:c r="H685" s="58" t="n">
        <x:f>AVERAGE(E681:E684)</x:f>
        <x:v>0</x:v>
      </x:c>
      <x:c r="I685" s="58" t="str">
        <x:f>""</x:f>
      </x:c>
      <x:c r="J685" s="58" t="str">
        <x:f>IF(G685="","",ABS(E685-G685))</x:f>
      </x:c>
      <x:c r="K685" s="58" t="str">
        <x:f>IF(H685="","",ABS(E685-H685))</x:f>
      </x:c>
      <x:c r="L685" s="58" t="str">
        <x:f>IF(I685="","",ABS(E685-I685))</x:f>
      </x:c>
      <x:c r="M685" s="23" t="str">
        <x:f>IF(B685&gt;44,"Validation","Training")</x:f>
        <x:v>Training</x:v>
      </x:c>
      <x:c r="N685" s="61" t="str">
        <x:f>IF(OR(H685="",E685=0),"",K685/E685)</x:f>
      </x:c>
    </x:row>
    <x:row r="686">
      <x:c r="A686" s="28" t="n">
        <x:v>40553</x:v>
      </x:c>
      <x:c r="B686" s="23" t="n">
        <x:v>6</x:v>
      </x:c>
      <x:c r="C686" s="23" t="str">
        <x:v>23203</x:v>
      </x:c>
      <x:c r="D686" s="23" t="str">
        <x:v>JUMBO BAG VINTAGE DOILY</x:v>
      </x:c>
      <x:c r="E686" s="34" t="n">
        <x:v>0</x:v>
      </x:c>
      <x:c r="F686" s="55" t="n">
        <x:v>0</x:v>
      </x:c>
      <x:c r="G686" s="58" t="n">
        <x:f>E685</x:f>
        <x:v>0</x:v>
      </x:c>
      <x:c r="H686" s="58" t="n">
        <x:f>AVERAGE(E682:E685)</x:f>
        <x:v>0</x:v>
      </x:c>
      <x:c r="I686" s="58" t="str">
        <x:f>""</x:f>
      </x:c>
      <x:c r="J686" s="58" t="str">
        <x:f>IF(G686="","",ABS(E686-G686))</x:f>
      </x:c>
      <x:c r="K686" s="58" t="str">
        <x:f>IF(H686="","",ABS(E686-H686))</x:f>
      </x:c>
      <x:c r="L686" s="58" t="str">
        <x:f>IF(I686="","",ABS(E686-I686))</x:f>
      </x:c>
      <x:c r="M686" s="23" t="str">
        <x:f>IF(B686&gt;44,"Validation","Training")</x:f>
        <x:v>Training</x:v>
      </x:c>
      <x:c r="N686" s="61" t="str">
        <x:f>IF(OR(H686="",E686=0),"",K686/E686)</x:f>
      </x:c>
    </x:row>
    <x:row r="687">
      <x:c r="A687" s="28" t="n">
        <x:v>40560</x:v>
      </x:c>
      <x:c r="B687" s="23" t="n">
        <x:v>7</x:v>
      </x:c>
      <x:c r="C687" s="23" t="str">
        <x:v>23203</x:v>
      </x:c>
      <x:c r="D687" s="23" t="str">
        <x:v>JUMBO BAG VINTAGE DOILY</x:v>
      </x:c>
      <x:c r="E687" s="34" t="n">
        <x:v>0</x:v>
      </x:c>
      <x:c r="F687" s="55" t="n">
        <x:v>0</x:v>
      </x:c>
      <x:c r="G687" s="58" t="n">
        <x:f>E686</x:f>
        <x:v>0</x:v>
      </x:c>
      <x:c r="H687" s="58" t="n">
        <x:f>AVERAGE(E683:E686)</x:f>
        <x:v>0</x:v>
      </x:c>
      <x:c r="I687" s="58" t="str">
        <x:f>""</x:f>
      </x:c>
      <x:c r="J687" s="58" t="str">
        <x:f>IF(G687="","",ABS(E687-G687))</x:f>
      </x:c>
      <x:c r="K687" s="58" t="str">
        <x:f>IF(H687="","",ABS(E687-H687))</x:f>
      </x:c>
      <x:c r="L687" s="58" t="str">
        <x:f>IF(I687="","",ABS(E687-I687))</x:f>
      </x:c>
      <x:c r="M687" s="23" t="str">
        <x:f>IF(B687&gt;44,"Validation","Training")</x:f>
        <x:v>Training</x:v>
      </x:c>
      <x:c r="N687" s="61" t="str">
        <x:f>IF(OR(H687="",E687=0),"",K687/E687)</x:f>
      </x:c>
    </x:row>
    <x:row r="688">
      <x:c r="A688" s="28" t="n">
        <x:v>40567</x:v>
      </x:c>
      <x:c r="B688" s="23" t="n">
        <x:v>8</x:v>
      </x:c>
      <x:c r="C688" s="23" t="str">
        <x:v>23203</x:v>
      </x:c>
      <x:c r="D688" s="23" t="str">
        <x:v>JUMBO BAG VINTAGE DOILY</x:v>
      </x:c>
      <x:c r="E688" s="34" t="n">
        <x:v>0</x:v>
      </x:c>
      <x:c r="F688" s="55" t="n">
        <x:v>0</x:v>
      </x:c>
      <x:c r="G688" s="58" t="n">
        <x:f>E687</x:f>
        <x:v>0</x:v>
      </x:c>
      <x:c r="H688" s="58" t="n">
        <x:f>AVERAGE(E684:E687)</x:f>
        <x:v>0</x:v>
      </x:c>
      <x:c r="I688" s="58" t="str">
        <x:f>""</x:f>
      </x:c>
      <x:c r="J688" s="58" t="str">
        <x:f>IF(G688="","",ABS(E688-G688))</x:f>
      </x:c>
      <x:c r="K688" s="58" t="str">
        <x:f>IF(H688="","",ABS(E688-H688))</x:f>
      </x:c>
      <x:c r="L688" s="58" t="str">
        <x:f>IF(I688="","",ABS(E688-I688))</x:f>
      </x:c>
      <x:c r="M688" s="23" t="str">
        <x:f>IF(B688&gt;44,"Validation","Training")</x:f>
        <x:v>Training</x:v>
      </x:c>
      <x:c r="N688" s="61" t="str">
        <x:f>IF(OR(H688="",E688=0),"",K688/E688)</x:f>
      </x:c>
    </x:row>
    <x:row r="689">
      <x:c r="A689" s="28" t="n">
        <x:v>40574</x:v>
      </x:c>
      <x:c r="B689" s="23" t="n">
        <x:v>9</x:v>
      </x:c>
      <x:c r="C689" s="23" t="str">
        <x:v>23203</x:v>
      </x:c>
      <x:c r="D689" s="23" t="str">
        <x:v>JUMBO BAG VINTAGE DOILY</x:v>
      </x:c>
      <x:c r="E689" s="34" t="n">
        <x:v>0</x:v>
      </x:c>
      <x:c r="F689" s="55" t="n">
        <x:v>0</x:v>
      </x:c>
      <x:c r="G689" s="58" t="n">
        <x:f>E688</x:f>
        <x:v>0</x:v>
      </x:c>
      <x:c r="H689" s="58" t="n">
        <x:f>AVERAGE(E685:E688)</x:f>
        <x:v>0</x:v>
      </x:c>
      <x:c r="I689" s="58" t="n">
        <x:f>AVERAGE(E681:E688)</x:f>
        <x:v>0</x:v>
      </x:c>
      <x:c r="J689" s="58" t="str">
        <x:f>IF(G689="","",ABS(E689-G689))</x:f>
      </x:c>
      <x:c r="K689" s="58" t="str">
        <x:f>IF(H689="","",ABS(E689-H689))</x:f>
      </x:c>
      <x:c r="L689" s="58" t="str">
        <x:f>IF(I689="","",ABS(E689-I689))</x:f>
      </x:c>
      <x:c r="M689" s="23" t="str">
        <x:f>IF(B689&gt;44,"Validation","Training")</x:f>
        <x:v>Training</x:v>
      </x:c>
      <x:c r="N689" s="61" t="str">
        <x:f>IF(OR(H689="",E689=0),"",K689/E689)</x:f>
      </x:c>
    </x:row>
    <x:row r="690">
      <x:c r="A690" s="28" t="n">
        <x:v>40581</x:v>
      </x:c>
      <x:c r="B690" s="23" t="n">
        <x:v>10</x:v>
      </x:c>
      <x:c r="C690" s="23" t="str">
        <x:v>23203</x:v>
      </x:c>
      <x:c r="D690" s="23" t="str">
        <x:v>JUMBO BAG VINTAGE DOILY</x:v>
      </x:c>
      <x:c r="E690" s="34" t="n">
        <x:v>0</x:v>
      </x:c>
      <x:c r="F690" s="55" t="n">
        <x:v>0</x:v>
      </x:c>
      <x:c r="G690" s="58" t="n">
        <x:f>E689</x:f>
        <x:v>0</x:v>
      </x:c>
      <x:c r="H690" s="58" t="n">
        <x:f>AVERAGE(E686:E689)</x:f>
        <x:v>0</x:v>
      </x:c>
      <x:c r="I690" s="58" t="n">
        <x:f>AVERAGE(E682:E689)</x:f>
        <x:v>0</x:v>
      </x:c>
      <x:c r="J690" s="58" t="str">
        <x:f>IF(G690="","",ABS(E690-G690))</x:f>
      </x:c>
      <x:c r="K690" s="58" t="str">
        <x:f>IF(H690="","",ABS(E690-H690))</x:f>
      </x:c>
      <x:c r="L690" s="58" t="str">
        <x:f>IF(I690="","",ABS(E690-I690))</x:f>
      </x:c>
      <x:c r="M690" s="23" t="str">
        <x:f>IF(B690&gt;44,"Validation","Training")</x:f>
        <x:v>Training</x:v>
      </x:c>
      <x:c r="N690" s="61" t="str">
        <x:f>IF(OR(H690="",E690=0),"",K690/E690)</x:f>
      </x:c>
    </x:row>
    <x:row r="691">
      <x:c r="A691" s="28" t="n">
        <x:v>40588</x:v>
      </x:c>
      <x:c r="B691" s="23" t="n">
        <x:v>11</x:v>
      </x:c>
      <x:c r="C691" s="23" t="str">
        <x:v>23203</x:v>
      </x:c>
      <x:c r="D691" s="23" t="str">
        <x:v>JUMBO BAG VINTAGE DOILY</x:v>
      </x:c>
      <x:c r="E691" s="34" t="n">
        <x:v>0</x:v>
      </x:c>
      <x:c r="F691" s="55" t="n">
        <x:v>0</x:v>
      </x:c>
      <x:c r="G691" s="58" t="n">
        <x:f>E690</x:f>
        <x:v>0</x:v>
      </x:c>
      <x:c r="H691" s="58" t="n">
        <x:f>AVERAGE(E687:E690)</x:f>
        <x:v>0</x:v>
      </x:c>
      <x:c r="I691" s="58" t="n">
        <x:f>AVERAGE(E683:E690)</x:f>
        <x:v>0</x:v>
      </x:c>
      <x:c r="J691" s="58" t="str">
        <x:f>IF(G691="","",ABS(E691-G691))</x:f>
      </x:c>
      <x:c r="K691" s="58" t="str">
        <x:f>IF(H691="","",ABS(E691-H691))</x:f>
      </x:c>
      <x:c r="L691" s="58" t="str">
        <x:f>IF(I691="","",ABS(E691-I691))</x:f>
      </x:c>
      <x:c r="M691" s="23" t="str">
        <x:f>IF(B691&gt;44,"Validation","Training")</x:f>
        <x:v>Training</x:v>
      </x:c>
      <x:c r="N691" s="61" t="str">
        <x:f>IF(OR(H691="",E691=0),"",K691/E691)</x:f>
      </x:c>
    </x:row>
    <x:row r="692">
      <x:c r="A692" s="28" t="n">
        <x:v>40595</x:v>
      </x:c>
      <x:c r="B692" s="23" t="n">
        <x:v>12</x:v>
      </x:c>
      <x:c r="C692" s="23" t="str">
        <x:v>23203</x:v>
      </x:c>
      <x:c r="D692" s="23" t="str">
        <x:v>JUMBO BAG VINTAGE DOILY</x:v>
      </x:c>
      <x:c r="E692" s="34" t="n">
        <x:v>0</x:v>
      </x:c>
      <x:c r="F692" s="55" t="n">
        <x:v>0</x:v>
      </x:c>
      <x:c r="G692" s="58" t="n">
        <x:f>E691</x:f>
        <x:v>0</x:v>
      </x:c>
      <x:c r="H692" s="58" t="n">
        <x:f>AVERAGE(E688:E691)</x:f>
        <x:v>0</x:v>
      </x:c>
      <x:c r="I692" s="58" t="n">
        <x:f>AVERAGE(E684:E691)</x:f>
        <x:v>0</x:v>
      </x:c>
      <x:c r="J692" s="58" t="str">
        <x:f>IF(G692="","",ABS(E692-G692))</x:f>
      </x:c>
      <x:c r="K692" s="58" t="str">
        <x:f>IF(H692="","",ABS(E692-H692))</x:f>
      </x:c>
      <x:c r="L692" s="58" t="str">
        <x:f>IF(I692="","",ABS(E692-I692))</x:f>
      </x:c>
      <x:c r="M692" s="23" t="str">
        <x:f>IF(B692&gt;44,"Validation","Training")</x:f>
        <x:v>Training</x:v>
      </x:c>
      <x:c r="N692" s="61" t="str">
        <x:f>IF(OR(H692="",E692=0),"",K692/E692)</x:f>
      </x:c>
    </x:row>
    <x:row r="693">
      <x:c r="A693" s="28" t="n">
        <x:v>40602</x:v>
      </x:c>
      <x:c r="B693" s="23" t="n">
        <x:v>13</x:v>
      </x:c>
      <x:c r="C693" s="23" t="str">
        <x:v>23203</x:v>
      </x:c>
      <x:c r="D693" s="23" t="str">
        <x:v>JUMBO BAG VINTAGE DOILY</x:v>
      </x:c>
      <x:c r="E693" s="34" t="n">
        <x:v>0</x:v>
      </x:c>
      <x:c r="F693" s="55" t="n">
        <x:v>0</x:v>
      </x:c>
      <x:c r="G693" s="58" t="n">
        <x:f>E692</x:f>
        <x:v>0</x:v>
      </x:c>
      <x:c r="H693" s="58" t="n">
        <x:f>AVERAGE(E689:E692)</x:f>
        <x:v>0</x:v>
      </x:c>
      <x:c r="I693" s="58" t="n">
        <x:f>AVERAGE(E685:E692)</x:f>
        <x:v>0</x:v>
      </x:c>
      <x:c r="J693" s="58" t="str">
        <x:f>IF(G693="","",ABS(E693-G693))</x:f>
      </x:c>
      <x:c r="K693" s="58" t="str">
        <x:f>IF(H693="","",ABS(E693-H693))</x:f>
      </x:c>
      <x:c r="L693" s="58" t="str">
        <x:f>IF(I693="","",ABS(E693-I693))</x:f>
      </x:c>
      <x:c r="M693" s="23" t="str">
        <x:f>IF(B693&gt;44,"Validation","Training")</x:f>
        <x:v>Training</x:v>
      </x:c>
      <x:c r="N693" s="61" t="str">
        <x:f>IF(OR(H693="",E693=0),"",K693/E693)</x:f>
      </x:c>
    </x:row>
    <x:row r="694">
      <x:c r="A694" s="28" t="n">
        <x:v>40609</x:v>
      </x:c>
      <x:c r="B694" s="23" t="n">
        <x:v>14</x:v>
      </x:c>
      <x:c r="C694" s="23" t="str">
        <x:v>23203</x:v>
      </x:c>
      <x:c r="D694" s="23" t="str">
        <x:v>JUMBO BAG VINTAGE DOILY</x:v>
      </x:c>
      <x:c r="E694" s="34" t="n">
        <x:v>0</x:v>
      </x:c>
      <x:c r="F694" s="55" t="n">
        <x:v>0</x:v>
      </x:c>
      <x:c r="G694" s="58" t="n">
        <x:f>E693</x:f>
        <x:v>0</x:v>
      </x:c>
      <x:c r="H694" s="58" t="n">
        <x:f>AVERAGE(E690:E693)</x:f>
        <x:v>0</x:v>
      </x:c>
      <x:c r="I694" s="58" t="n">
        <x:f>AVERAGE(E686:E693)</x:f>
        <x:v>0</x:v>
      </x:c>
      <x:c r="J694" s="58" t="str">
        <x:f>IF(G694="","",ABS(E694-G694))</x:f>
      </x:c>
      <x:c r="K694" s="58" t="str">
        <x:f>IF(H694="","",ABS(E694-H694))</x:f>
      </x:c>
      <x:c r="L694" s="58" t="str">
        <x:f>IF(I694="","",ABS(E694-I694))</x:f>
      </x:c>
      <x:c r="M694" s="23" t="str">
        <x:f>IF(B694&gt;44,"Validation","Training")</x:f>
        <x:v>Training</x:v>
      </x:c>
      <x:c r="N694" s="61" t="str">
        <x:f>IF(OR(H694="",E694=0),"",K694/E694)</x:f>
      </x:c>
    </x:row>
    <x:row r="695">
      <x:c r="A695" s="28" t="n">
        <x:v>40616</x:v>
      </x:c>
      <x:c r="B695" s="23" t="n">
        <x:v>15</x:v>
      </x:c>
      <x:c r="C695" s="23" t="str">
        <x:v>23203</x:v>
      </x:c>
      <x:c r="D695" s="23" t="str">
        <x:v>JUMBO BAG VINTAGE DOILY</x:v>
      </x:c>
      <x:c r="E695" s="34" t="n">
        <x:v>0</x:v>
      </x:c>
      <x:c r="F695" s="55" t="n">
        <x:v>0</x:v>
      </x:c>
      <x:c r="G695" s="58" t="n">
        <x:f>E694</x:f>
        <x:v>0</x:v>
      </x:c>
      <x:c r="H695" s="58" t="n">
        <x:f>AVERAGE(E691:E694)</x:f>
        <x:v>0</x:v>
      </x:c>
      <x:c r="I695" s="58" t="n">
        <x:f>AVERAGE(E687:E694)</x:f>
        <x:v>0</x:v>
      </x:c>
      <x:c r="J695" s="58" t="str">
        <x:f>IF(G695="","",ABS(E695-G695))</x:f>
      </x:c>
      <x:c r="K695" s="58" t="str">
        <x:f>IF(H695="","",ABS(E695-H695))</x:f>
      </x:c>
      <x:c r="L695" s="58" t="str">
        <x:f>IF(I695="","",ABS(E695-I695))</x:f>
      </x:c>
      <x:c r="M695" s="23" t="str">
        <x:f>IF(B695&gt;44,"Validation","Training")</x:f>
        <x:v>Training</x:v>
      </x:c>
      <x:c r="N695" s="61" t="str">
        <x:f>IF(OR(H695="",E695=0),"",K695/E695)</x:f>
      </x:c>
    </x:row>
    <x:row r="696">
      <x:c r="A696" s="28" t="n">
        <x:v>40623</x:v>
      </x:c>
      <x:c r="B696" s="23" t="n">
        <x:v>16</x:v>
      </x:c>
      <x:c r="C696" s="23" t="str">
        <x:v>23203</x:v>
      </x:c>
      <x:c r="D696" s="23" t="str">
        <x:v>JUMBO BAG VINTAGE DOILY</x:v>
      </x:c>
      <x:c r="E696" s="34" t="n">
        <x:v>0</x:v>
      </x:c>
      <x:c r="F696" s="55" t="n">
        <x:v>0</x:v>
      </x:c>
      <x:c r="G696" s="58" t="n">
        <x:f>E695</x:f>
        <x:v>0</x:v>
      </x:c>
      <x:c r="H696" s="58" t="n">
        <x:f>AVERAGE(E692:E695)</x:f>
        <x:v>0</x:v>
      </x:c>
      <x:c r="I696" s="58" t="n">
        <x:f>AVERAGE(E688:E695)</x:f>
        <x:v>0</x:v>
      </x:c>
      <x:c r="J696" s="58" t="str">
        <x:f>IF(G696="","",ABS(E696-G696))</x:f>
      </x:c>
      <x:c r="K696" s="58" t="str">
        <x:f>IF(H696="","",ABS(E696-H696))</x:f>
      </x:c>
      <x:c r="L696" s="58" t="str">
        <x:f>IF(I696="","",ABS(E696-I696))</x:f>
      </x:c>
      <x:c r="M696" s="23" t="str">
        <x:f>IF(B696&gt;44,"Validation","Training")</x:f>
        <x:v>Training</x:v>
      </x:c>
      <x:c r="N696" s="61" t="str">
        <x:f>IF(OR(H696="",E696=0),"",K696/E696)</x:f>
      </x:c>
    </x:row>
    <x:row r="697">
      <x:c r="A697" s="28" t="n">
        <x:v>40630</x:v>
      </x:c>
      <x:c r="B697" s="23" t="n">
        <x:v>17</x:v>
      </x:c>
      <x:c r="C697" s="23" t="str">
        <x:v>23203</x:v>
      </x:c>
      <x:c r="D697" s="23" t="str">
        <x:v>JUMBO BAG VINTAGE DOILY</x:v>
      </x:c>
      <x:c r="E697" s="34" t="n">
        <x:v>0</x:v>
      </x:c>
      <x:c r="F697" s="55" t="n">
        <x:v>0</x:v>
      </x:c>
      <x:c r="G697" s="58" t="n">
        <x:f>E696</x:f>
        <x:v>0</x:v>
      </x:c>
      <x:c r="H697" s="58" t="n">
        <x:f>AVERAGE(E693:E696)</x:f>
        <x:v>0</x:v>
      </x:c>
      <x:c r="I697" s="58" t="n">
        <x:f>AVERAGE(E689:E696)</x:f>
        <x:v>0</x:v>
      </x:c>
      <x:c r="J697" s="58" t="str">
        <x:f>IF(G697="","",ABS(E697-G697))</x:f>
      </x:c>
      <x:c r="K697" s="58" t="str">
        <x:f>IF(H697="","",ABS(E697-H697))</x:f>
      </x:c>
      <x:c r="L697" s="58" t="str">
        <x:f>IF(I697="","",ABS(E697-I697))</x:f>
      </x:c>
      <x:c r="M697" s="23" t="str">
        <x:f>IF(B697&gt;44,"Validation","Training")</x:f>
        <x:v>Training</x:v>
      </x:c>
      <x:c r="N697" s="61" t="str">
        <x:f>IF(OR(H697="",E697=0),"",K697/E697)</x:f>
      </x:c>
    </x:row>
    <x:row r="698">
      <x:c r="A698" s="28" t="n">
        <x:v>40637</x:v>
      </x:c>
      <x:c r="B698" s="23" t="n">
        <x:v>18</x:v>
      </x:c>
      <x:c r="C698" s="23" t="str">
        <x:v>23203</x:v>
      </x:c>
      <x:c r="D698" s="23" t="str">
        <x:v>JUMBO BAG VINTAGE DOILY</x:v>
      </x:c>
      <x:c r="E698" s="34" t="n">
        <x:v>0</x:v>
      </x:c>
      <x:c r="F698" s="55" t="n">
        <x:v>0</x:v>
      </x:c>
      <x:c r="G698" s="58" t="n">
        <x:f>E697</x:f>
        <x:v>0</x:v>
      </x:c>
      <x:c r="H698" s="58" t="n">
        <x:f>AVERAGE(E694:E697)</x:f>
        <x:v>0</x:v>
      </x:c>
      <x:c r="I698" s="58" t="n">
        <x:f>AVERAGE(E690:E697)</x:f>
        <x:v>0</x:v>
      </x:c>
      <x:c r="J698" s="58" t="str">
        <x:f>IF(G698="","",ABS(E698-G698))</x:f>
      </x:c>
      <x:c r="K698" s="58" t="str">
        <x:f>IF(H698="","",ABS(E698-H698))</x:f>
      </x:c>
      <x:c r="L698" s="58" t="str">
        <x:f>IF(I698="","",ABS(E698-I698))</x:f>
      </x:c>
      <x:c r="M698" s="23" t="str">
        <x:f>IF(B698&gt;44,"Validation","Training")</x:f>
        <x:v>Training</x:v>
      </x:c>
      <x:c r="N698" s="61" t="str">
        <x:f>IF(OR(H698="",E698=0),"",K698/E698)</x:f>
      </x:c>
    </x:row>
    <x:row r="699">
      <x:c r="A699" s="28" t="n">
        <x:v>40644</x:v>
      </x:c>
      <x:c r="B699" s="23" t="n">
        <x:v>19</x:v>
      </x:c>
      <x:c r="C699" s="23" t="str">
        <x:v>23203</x:v>
      </x:c>
      <x:c r="D699" s="23" t="str">
        <x:v>JUMBO BAG VINTAGE DOILY</x:v>
      </x:c>
      <x:c r="E699" s="34" t="n">
        <x:v>0</x:v>
      </x:c>
      <x:c r="F699" s="55" t="n">
        <x:v>0</x:v>
      </x:c>
      <x:c r="G699" s="58" t="n">
        <x:f>E698</x:f>
        <x:v>0</x:v>
      </x:c>
      <x:c r="H699" s="58" t="n">
        <x:f>AVERAGE(E695:E698)</x:f>
        <x:v>0</x:v>
      </x:c>
      <x:c r="I699" s="58" t="n">
        <x:f>AVERAGE(E691:E698)</x:f>
        <x:v>0</x:v>
      </x:c>
      <x:c r="J699" s="58" t="str">
        <x:f>IF(G699="","",ABS(E699-G699))</x:f>
      </x:c>
      <x:c r="K699" s="58" t="str">
        <x:f>IF(H699="","",ABS(E699-H699))</x:f>
      </x:c>
      <x:c r="L699" s="58" t="str">
        <x:f>IF(I699="","",ABS(E699-I699))</x:f>
      </x:c>
      <x:c r="M699" s="23" t="str">
        <x:f>IF(B699&gt;44,"Validation","Training")</x:f>
        <x:v>Training</x:v>
      </x:c>
      <x:c r="N699" s="61" t="str">
        <x:f>IF(OR(H699="",E699=0),"",K699/E699)</x:f>
      </x:c>
    </x:row>
    <x:row r="700">
      <x:c r="A700" s="28" t="n">
        <x:v>40651</x:v>
      </x:c>
      <x:c r="B700" s="23" t="n">
        <x:v>20</x:v>
      </x:c>
      <x:c r="C700" s="23" t="str">
        <x:v>23203</x:v>
      </x:c>
      <x:c r="D700" s="23" t="str">
        <x:v>JUMBO BAG VINTAGE DOILY</x:v>
      </x:c>
      <x:c r="E700" s="34" t="n">
        <x:v>0</x:v>
      </x:c>
      <x:c r="F700" s="55" t="n">
        <x:v>0</x:v>
      </x:c>
      <x:c r="G700" s="58" t="n">
        <x:f>E699</x:f>
        <x:v>0</x:v>
      </x:c>
      <x:c r="H700" s="58" t="n">
        <x:f>AVERAGE(E696:E699)</x:f>
        <x:v>0</x:v>
      </x:c>
      <x:c r="I700" s="58" t="n">
        <x:f>AVERAGE(E692:E699)</x:f>
        <x:v>0</x:v>
      </x:c>
      <x:c r="J700" s="58" t="str">
        <x:f>IF(G700="","",ABS(E700-G700))</x:f>
      </x:c>
      <x:c r="K700" s="58" t="str">
        <x:f>IF(H700="","",ABS(E700-H700))</x:f>
      </x:c>
      <x:c r="L700" s="58" t="str">
        <x:f>IF(I700="","",ABS(E700-I700))</x:f>
      </x:c>
      <x:c r="M700" s="23" t="str">
        <x:f>IF(B700&gt;44,"Validation","Training")</x:f>
        <x:v>Training</x:v>
      </x:c>
      <x:c r="N700" s="61" t="str">
        <x:f>IF(OR(H700="",E700=0),"",K700/E700)</x:f>
      </x:c>
    </x:row>
    <x:row r="701">
      <x:c r="A701" s="28" t="n">
        <x:v>40658</x:v>
      </x:c>
      <x:c r="B701" s="23" t="n">
        <x:v>21</x:v>
      </x:c>
      <x:c r="C701" s="23" t="str">
        <x:v>23203</x:v>
      </x:c>
      <x:c r="D701" s="23" t="str">
        <x:v>JUMBO BAG VINTAGE DOILY</x:v>
      </x:c>
      <x:c r="E701" s="34" t="n">
        <x:v>0</x:v>
      </x:c>
      <x:c r="F701" s="55" t="n">
        <x:v>0</x:v>
      </x:c>
      <x:c r="G701" s="58" t="n">
        <x:f>E700</x:f>
        <x:v>0</x:v>
      </x:c>
      <x:c r="H701" s="58" t="n">
        <x:f>AVERAGE(E697:E700)</x:f>
        <x:v>0</x:v>
      </x:c>
      <x:c r="I701" s="58" t="n">
        <x:f>AVERAGE(E693:E700)</x:f>
        <x:v>0</x:v>
      </x:c>
      <x:c r="J701" s="58" t="str">
        <x:f>IF(G701="","",ABS(E701-G701))</x:f>
      </x:c>
      <x:c r="K701" s="58" t="str">
        <x:f>IF(H701="","",ABS(E701-H701))</x:f>
      </x:c>
      <x:c r="L701" s="58" t="str">
        <x:f>IF(I701="","",ABS(E701-I701))</x:f>
      </x:c>
      <x:c r="M701" s="23" t="str">
        <x:f>IF(B701&gt;44,"Validation","Training")</x:f>
        <x:v>Training</x:v>
      </x:c>
      <x:c r="N701" s="61" t="str">
        <x:f>IF(OR(H701="",E701=0),"",K701/E701)</x:f>
      </x:c>
    </x:row>
    <x:row r="702">
      <x:c r="A702" s="28" t="n">
        <x:v>40665</x:v>
      </x:c>
      <x:c r="B702" s="23" t="n">
        <x:v>22</x:v>
      </x:c>
      <x:c r="C702" s="23" t="str">
        <x:v>23203</x:v>
      </x:c>
      <x:c r="D702" s="23" t="str">
        <x:v>JUMBO BAG VINTAGE DOILY</x:v>
      </x:c>
      <x:c r="E702" s="34" t="n">
        <x:v>120</x:v>
      </x:c>
      <x:c r="F702" s="55" t="n">
        <x:v>249.6</x:v>
      </x:c>
      <x:c r="G702" s="58" t="n">
        <x:f>E701</x:f>
        <x:v>0</x:v>
      </x:c>
      <x:c r="H702" s="58" t="n">
        <x:f>AVERAGE(E698:E701)</x:f>
        <x:v>0</x:v>
      </x:c>
      <x:c r="I702" s="58" t="n">
        <x:f>AVERAGE(E694:E701)</x:f>
        <x:v>0</x:v>
      </x:c>
      <x:c r="J702" s="58" t="str">
        <x:f>IF(G702="","",ABS(E702-G702))</x:f>
      </x:c>
      <x:c r="K702" s="58" t="str">
        <x:f>IF(H702="","",ABS(E702-H702))</x:f>
      </x:c>
      <x:c r="L702" s="58" t="str">
        <x:f>IF(I702="","",ABS(E702-I702))</x:f>
      </x:c>
      <x:c r="M702" s="23" t="str">
        <x:f>IF(B702&gt;44,"Validation","Training")</x:f>
        <x:v>Training</x:v>
      </x:c>
      <x:c r="N702" s="61" t="str">
        <x:f>IF(OR(H702="",E702=0),"",K702/E702)</x:f>
      </x:c>
    </x:row>
    <x:row r="703">
      <x:c r="A703" s="28" t="n">
        <x:v>40672</x:v>
      </x:c>
      <x:c r="B703" s="23" t="n">
        <x:v>23</x:v>
      </x:c>
      <x:c r="C703" s="23" t="str">
        <x:v>23203</x:v>
      </x:c>
      <x:c r="D703" s="23" t="str">
        <x:v>JUMBO BAG VINTAGE DOILY</x:v>
      </x:c>
      <x:c r="E703" s="34" t="n">
        <x:v>908</x:v>
      </x:c>
      <x:c r="F703" s="55" t="n">
        <x:v>1694.99</x:v>
      </x:c>
      <x:c r="G703" s="58" t="n">
        <x:f>E702</x:f>
        <x:v>120</x:v>
      </x:c>
      <x:c r="H703" s="58" t="n">
        <x:f>AVERAGE(E699:E702)</x:f>
        <x:v>30</x:v>
      </x:c>
      <x:c r="I703" s="58" t="n">
        <x:f>AVERAGE(E695:E702)</x:f>
        <x:v>15</x:v>
      </x:c>
      <x:c r="J703" s="58" t="n">
        <x:f>IF(G703="","",ABS(E703-G703))</x:f>
        <x:v>788</x:v>
      </x:c>
      <x:c r="K703" s="58" t="n">
        <x:f>IF(H703="","",ABS(E703-H703))</x:f>
        <x:v>878</x:v>
      </x:c>
      <x:c r="L703" s="58" t="n">
        <x:f>IF(I703="","",ABS(E703-I703))</x:f>
        <x:v>893</x:v>
      </x:c>
      <x:c r="M703" s="23" t="str">
        <x:f>IF(B703&gt;44,"Validation","Training")</x:f>
        <x:v>Training</x:v>
      </x:c>
      <x:c r="N703" s="61" t="n">
        <x:f>IF(OR(H703="",E703=0),"",K703/E703)</x:f>
        <x:v>0.9669603524229075</x:v>
      </x:c>
    </x:row>
    <x:row r="704">
      <x:c r="A704" s="28" t="n">
        <x:v>40679</x:v>
      </x:c>
      <x:c r="B704" s="23" t="n">
        <x:v>24</x:v>
      </x:c>
      <x:c r="C704" s="23" t="str">
        <x:v>23203</x:v>
      </x:c>
      <x:c r="D704" s="23" t="str">
        <x:v>JUMBO BAG VINTAGE DOILY</x:v>
      </x:c>
      <x:c r="E704" s="34" t="n">
        <x:v>1047</x:v>
      </x:c>
      <x:c r="F704" s="55" t="n">
        <x:v>1988.66</x:v>
      </x:c>
      <x:c r="G704" s="58" t="n">
        <x:f>E703</x:f>
        <x:v>908</x:v>
      </x:c>
      <x:c r="H704" s="58" t="n">
        <x:f>AVERAGE(E700:E703)</x:f>
        <x:v>257</x:v>
      </x:c>
      <x:c r="I704" s="58" t="n">
        <x:f>AVERAGE(E696:E703)</x:f>
        <x:v>128.5</x:v>
      </x:c>
      <x:c r="J704" s="58" t="n">
        <x:f>IF(G704="","",ABS(E704-G704))</x:f>
        <x:v>139</x:v>
      </x:c>
      <x:c r="K704" s="58" t="n">
        <x:f>IF(H704="","",ABS(E704-H704))</x:f>
        <x:v>790</x:v>
      </x:c>
      <x:c r="L704" s="58" t="n">
        <x:f>IF(I704="","",ABS(E704-I704))</x:f>
        <x:v>918.5</x:v>
      </x:c>
      <x:c r="M704" s="23" t="str">
        <x:f>IF(B704&gt;44,"Validation","Training")</x:f>
        <x:v>Training</x:v>
      </x:c>
      <x:c r="N704" s="61" t="n">
        <x:f>IF(OR(H704="",E704=0),"",K704/E704)</x:f>
        <x:v>0.7545367717287488</x:v>
      </x:c>
    </x:row>
    <x:row r="705">
      <x:c r="A705" s="28" t="n">
        <x:v>40686</x:v>
      </x:c>
      <x:c r="B705" s="23" t="n">
        <x:v>25</x:v>
      </x:c>
      <x:c r="C705" s="23" t="str">
        <x:v>23203</x:v>
      </x:c>
      <x:c r="D705" s="23" t="str">
        <x:v>JUMBO BAG VINTAGE DOILY</x:v>
      </x:c>
      <x:c r="E705" s="34" t="n">
        <x:v>347</x:v>
      </x:c>
      <x:c r="F705" s="55" t="n">
        <x:v>716.26</x:v>
      </x:c>
      <x:c r="G705" s="58" t="n">
        <x:f>E704</x:f>
        <x:v>1047</x:v>
      </x:c>
      <x:c r="H705" s="58" t="n">
        <x:f>AVERAGE(E701:E704)</x:f>
        <x:v>518.75</x:v>
      </x:c>
      <x:c r="I705" s="58" t="n">
        <x:f>AVERAGE(E697:E704)</x:f>
        <x:v>259.375</x:v>
      </x:c>
      <x:c r="J705" s="58" t="n">
        <x:f>IF(G705="","",ABS(E705-G705))</x:f>
        <x:v>700</x:v>
      </x:c>
      <x:c r="K705" s="58" t="n">
        <x:f>IF(H705="","",ABS(E705-H705))</x:f>
        <x:v>171.75</x:v>
      </x:c>
      <x:c r="L705" s="58" t="n">
        <x:f>IF(I705="","",ABS(E705-I705))</x:f>
        <x:v>87.625</x:v>
      </x:c>
      <x:c r="M705" s="23" t="str">
        <x:f>IF(B705&gt;44,"Validation","Training")</x:f>
        <x:v>Training</x:v>
      </x:c>
      <x:c r="N705" s="61" t="n">
        <x:f>IF(OR(H705="",E705=0),"",K705/E705)</x:f>
        <x:v>0.49495677233429397</x:v>
      </x:c>
    </x:row>
    <x:row r="706">
      <x:c r="A706" s="28" t="n">
        <x:v>40693</x:v>
      </x:c>
      <x:c r="B706" s="23" t="n">
        <x:v>26</x:v>
      </x:c>
      <x:c r="C706" s="23" t="str">
        <x:v>23203</x:v>
      </x:c>
      <x:c r="D706" s="23" t="str">
        <x:v>JUMBO BAG VINTAGE DOILY</x:v>
      </x:c>
      <x:c r="E706" s="34" t="n">
        <x:v>467</x:v>
      </x:c>
      <x:c r="F706" s="55" t="n">
        <x:v>918.91</x:v>
      </x:c>
      <x:c r="G706" s="58" t="n">
        <x:f>E705</x:f>
        <x:v>347</x:v>
      </x:c>
      <x:c r="H706" s="58" t="n">
        <x:f>AVERAGE(E702:E705)</x:f>
        <x:v>605.5</x:v>
      </x:c>
      <x:c r="I706" s="58" t="n">
        <x:f>AVERAGE(E698:E705)</x:f>
        <x:v>302.75</x:v>
      </x:c>
      <x:c r="J706" s="58" t="n">
        <x:f>IF(G706="","",ABS(E706-G706))</x:f>
        <x:v>120</x:v>
      </x:c>
      <x:c r="K706" s="58" t="n">
        <x:f>IF(H706="","",ABS(E706-H706))</x:f>
        <x:v>138.5</x:v>
      </x:c>
      <x:c r="L706" s="58" t="n">
        <x:f>IF(I706="","",ABS(E706-I706))</x:f>
        <x:v>164.25</x:v>
      </x:c>
      <x:c r="M706" s="23" t="str">
        <x:f>IF(B706&gt;44,"Validation","Training")</x:f>
        <x:v>Training</x:v>
      </x:c>
      <x:c r="N706" s="61" t="n">
        <x:f>IF(OR(H706="",E706=0),"",K706/E706)</x:f>
        <x:v>0.2965738758029979</x:v>
      </x:c>
    </x:row>
    <x:row r="707">
      <x:c r="A707" s="28" t="n">
        <x:v>40700</x:v>
      </x:c>
      <x:c r="B707" s="23" t="n">
        <x:v>27</x:v>
      </x:c>
      <x:c r="C707" s="23" t="str">
        <x:v>23203</x:v>
      </x:c>
      <x:c r="D707" s="23" t="str">
        <x:v>JUMBO BAG VINTAGE DOILY</x:v>
      </x:c>
      <x:c r="E707" s="34" t="n">
        <x:v>244</x:v>
      </x:c>
      <x:c r="F707" s="55" t="n">
        <x:v>531.57</x:v>
      </x:c>
      <x:c r="G707" s="58" t="n">
        <x:f>E706</x:f>
        <x:v>467</x:v>
      </x:c>
      <x:c r="H707" s="58" t="n">
        <x:f>AVERAGE(E703:E706)</x:f>
        <x:v>692.25</x:v>
      </x:c>
      <x:c r="I707" s="58" t="n">
        <x:f>AVERAGE(E699:E706)</x:f>
        <x:v>361.125</x:v>
      </x:c>
      <x:c r="J707" s="58" t="n">
        <x:f>IF(G707="","",ABS(E707-G707))</x:f>
        <x:v>223</x:v>
      </x:c>
      <x:c r="K707" s="58" t="n">
        <x:f>IF(H707="","",ABS(E707-H707))</x:f>
        <x:v>448.25</x:v>
      </x:c>
      <x:c r="L707" s="58" t="n">
        <x:f>IF(I707="","",ABS(E707-I707))</x:f>
        <x:v>117.125</x:v>
      </x:c>
      <x:c r="M707" s="23" t="str">
        <x:f>IF(B707&gt;44,"Validation","Training")</x:f>
        <x:v>Training</x:v>
      </x:c>
      <x:c r="N707" s="61" t="n">
        <x:f>IF(OR(H707="",E707=0),"",K707/E707)</x:f>
        <x:v>1.8370901639344261</x:v>
      </x:c>
    </x:row>
    <x:row r="708">
      <x:c r="A708" s="28" t="n">
        <x:v>40707</x:v>
      </x:c>
      <x:c r="B708" s="23" t="n">
        <x:v>28</x:v>
      </x:c>
      <x:c r="C708" s="23" t="str">
        <x:v>23203</x:v>
      </x:c>
      <x:c r="D708" s="23" t="str">
        <x:v>JUMBO BAG VINTAGE DOILY</x:v>
      </x:c>
      <x:c r="E708" s="34" t="n">
        <x:v>780</x:v>
      </x:c>
      <x:c r="F708" s="55" t="n">
        <x:v>1551.25</x:v>
      </x:c>
      <x:c r="G708" s="58" t="n">
        <x:f>E707</x:f>
        <x:v>244</x:v>
      </x:c>
      <x:c r="H708" s="58" t="n">
        <x:f>AVERAGE(E704:E707)</x:f>
        <x:v>526.25</x:v>
      </x:c>
      <x:c r="I708" s="58" t="n">
        <x:f>AVERAGE(E700:E707)</x:f>
        <x:v>391.625</x:v>
      </x:c>
      <x:c r="J708" s="58" t="n">
        <x:f>IF(G708="","",ABS(E708-G708))</x:f>
        <x:v>536</x:v>
      </x:c>
      <x:c r="K708" s="58" t="n">
        <x:f>IF(H708="","",ABS(E708-H708))</x:f>
        <x:v>253.75</x:v>
      </x:c>
      <x:c r="L708" s="58" t="n">
        <x:f>IF(I708="","",ABS(E708-I708))</x:f>
        <x:v>388.375</x:v>
      </x:c>
      <x:c r="M708" s="23" t="str">
        <x:f>IF(B708&gt;44,"Validation","Training")</x:f>
        <x:v>Training</x:v>
      </x:c>
      <x:c r="N708" s="61" t="n">
        <x:f>IF(OR(H708="",E708=0),"",K708/E708)</x:f>
        <x:v>0.32532051282051283</x:v>
      </x:c>
    </x:row>
    <x:row r="709">
      <x:c r="A709" s="28" t="n">
        <x:v>40714</x:v>
      </x:c>
      <x:c r="B709" s="23" t="n">
        <x:v>29</x:v>
      </x:c>
      <x:c r="C709" s="23" t="str">
        <x:v>23203</x:v>
      </x:c>
      <x:c r="D709" s="23" t="str">
        <x:v>JUMBO BAG VINTAGE DOILY</x:v>
      </x:c>
      <x:c r="E709" s="34" t="n">
        <x:v>304</x:v>
      </x:c>
      <x:c r="F709" s="55" t="n">
        <x:v>625.32</x:v>
      </x:c>
      <x:c r="G709" s="58" t="n">
        <x:f>E708</x:f>
        <x:v>780</x:v>
      </x:c>
      <x:c r="H709" s="58" t="n">
        <x:f>AVERAGE(E705:E708)</x:f>
        <x:v>459.5</x:v>
      </x:c>
      <x:c r="I709" s="58" t="n">
        <x:f>AVERAGE(E701:E708)</x:f>
        <x:v>489.125</x:v>
      </x:c>
      <x:c r="J709" s="58" t="n">
        <x:f>IF(G709="","",ABS(E709-G709))</x:f>
        <x:v>476</x:v>
      </x:c>
      <x:c r="K709" s="58" t="n">
        <x:f>IF(H709="","",ABS(E709-H709))</x:f>
        <x:v>155.5</x:v>
      </x:c>
      <x:c r="L709" s="58" t="n">
        <x:f>IF(I709="","",ABS(E709-I709))</x:f>
        <x:v>185.125</x:v>
      </x:c>
      <x:c r="M709" s="23" t="str">
        <x:f>IF(B709&gt;44,"Validation","Training")</x:f>
        <x:v>Training</x:v>
      </x:c>
      <x:c r="N709" s="61" t="n">
        <x:f>IF(OR(H709="",E709=0),"",K709/E709)</x:f>
        <x:v>0.5115131578947368</x:v>
      </x:c>
    </x:row>
    <x:row r="710">
      <x:c r="A710" s="28" t="n">
        <x:v>40721</x:v>
      </x:c>
      <x:c r="B710" s="23" t="n">
        <x:v>30</x:v>
      </x:c>
      <x:c r="C710" s="23" t="str">
        <x:v>23203</x:v>
      </x:c>
      <x:c r="D710" s="23" t="str">
        <x:v>JUMBO BAG VINTAGE DOILY</x:v>
      </x:c>
      <x:c r="E710" s="34" t="n">
        <x:v>258</x:v>
      </x:c>
      <x:c r="F710" s="55" t="n">
        <x:v>508.39</x:v>
      </x:c>
      <x:c r="G710" s="58" t="n">
        <x:f>E709</x:f>
        <x:v>304</x:v>
      </x:c>
      <x:c r="H710" s="58" t="n">
        <x:f>AVERAGE(E706:E709)</x:f>
        <x:v>448.75</x:v>
      </x:c>
      <x:c r="I710" s="58" t="n">
        <x:f>AVERAGE(E702:E709)</x:f>
        <x:v>527.125</x:v>
      </x:c>
      <x:c r="J710" s="58" t="n">
        <x:f>IF(G710="","",ABS(E710-G710))</x:f>
        <x:v>46</x:v>
      </x:c>
      <x:c r="K710" s="58" t="n">
        <x:f>IF(H710="","",ABS(E710-H710))</x:f>
        <x:v>190.75</x:v>
      </x:c>
      <x:c r="L710" s="58" t="n">
        <x:f>IF(I710="","",ABS(E710-I710))</x:f>
        <x:v>269.125</x:v>
      </x:c>
      <x:c r="M710" s="23" t="str">
        <x:f>IF(B710&gt;44,"Validation","Training")</x:f>
        <x:v>Training</x:v>
      </x:c>
      <x:c r="N710" s="61" t="n">
        <x:f>IF(OR(H710="",E710=0),"",K710/E710)</x:f>
        <x:v>0.7393410852713178</x:v>
      </x:c>
    </x:row>
    <x:row r="711">
      <x:c r="A711" s="28" t="n">
        <x:v>40728</x:v>
      </x:c>
      <x:c r="B711" s="23" t="n">
        <x:v>31</x:v>
      </x:c>
      <x:c r="C711" s="23" t="str">
        <x:v>23203</x:v>
      </x:c>
      <x:c r="D711" s="23" t="str">
        <x:v>JUMBO BAG VINTAGE DOILY</x:v>
      </x:c>
      <x:c r="E711" s="34" t="n">
        <x:v>375</x:v>
      </x:c>
      <x:c r="F711" s="55" t="n">
        <x:v>795.3</x:v>
      </x:c>
      <x:c r="G711" s="58" t="n">
        <x:f>E710</x:f>
        <x:v>258</x:v>
      </x:c>
      <x:c r="H711" s="58" t="n">
        <x:f>AVERAGE(E707:E710)</x:f>
        <x:v>396.5</x:v>
      </x:c>
      <x:c r="I711" s="58" t="n">
        <x:f>AVERAGE(E703:E710)</x:f>
        <x:v>544.375</x:v>
      </x:c>
      <x:c r="J711" s="58" t="n">
        <x:f>IF(G711="","",ABS(E711-G711))</x:f>
        <x:v>117</x:v>
      </x:c>
      <x:c r="K711" s="58" t="n">
        <x:f>IF(H711="","",ABS(E711-H711))</x:f>
        <x:v>21.5</x:v>
      </x:c>
      <x:c r="L711" s="58" t="n">
        <x:f>IF(I711="","",ABS(E711-I711))</x:f>
        <x:v>169.375</x:v>
      </x:c>
      <x:c r="M711" s="23" t="str">
        <x:f>IF(B711&gt;44,"Validation","Training")</x:f>
        <x:v>Training</x:v>
      </x:c>
      <x:c r="N711" s="61" t="n">
        <x:f>IF(OR(H711="",E711=0),"",K711/E711)</x:f>
        <x:v>0.05733333333333333</x:v>
      </x:c>
    </x:row>
    <x:row r="712">
      <x:c r="A712" s="28" t="n">
        <x:v>40735</x:v>
      </x:c>
      <x:c r="B712" s="23" t="n">
        <x:v>32</x:v>
      </x:c>
      <x:c r="C712" s="23" t="str">
        <x:v>23203</x:v>
      </x:c>
      <x:c r="D712" s="23" t="str">
        <x:v>JUMBO BAG VINTAGE DOILY</x:v>
      </x:c>
      <x:c r="E712" s="34" t="n">
        <x:v>441</x:v>
      </x:c>
      <x:c r="F712" s="55" t="n">
        <x:v>864.88</x:v>
      </x:c>
      <x:c r="G712" s="58" t="n">
        <x:f>E711</x:f>
        <x:v>375</x:v>
      </x:c>
      <x:c r="H712" s="58" t="n">
        <x:f>AVERAGE(E708:E711)</x:f>
        <x:v>429.25</x:v>
      </x:c>
      <x:c r="I712" s="58" t="n">
        <x:f>AVERAGE(E704:E711)</x:f>
        <x:v>477.75</x:v>
      </x:c>
      <x:c r="J712" s="58" t="n">
        <x:f>IF(G712="","",ABS(E712-G712))</x:f>
        <x:v>66</x:v>
      </x:c>
      <x:c r="K712" s="58" t="n">
        <x:f>IF(H712="","",ABS(E712-H712))</x:f>
        <x:v>11.75</x:v>
      </x:c>
      <x:c r="L712" s="58" t="n">
        <x:f>IF(I712="","",ABS(E712-I712))</x:f>
        <x:v>36.75</x:v>
      </x:c>
      <x:c r="M712" s="23" t="str">
        <x:f>IF(B712&gt;44,"Validation","Training")</x:f>
        <x:v>Training</x:v>
      </x:c>
      <x:c r="N712" s="61" t="n">
        <x:f>IF(OR(H712="",E712=0),"",K712/E712)</x:f>
        <x:v>0.026643990929705215</x:v>
      </x:c>
    </x:row>
    <x:row r="713">
      <x:c r="A713" s="28" t="n">
        <x:v>40742</x:v>
      </x:c>
      <x:c r="B713" s="23" t="n">
        <x:v>33</x:v>
      </x:c>
      <x:c r="C713" s="23" t="str">
        <x:v>23203</x:v>
      </x:c>
      <x:c r="D713" s="23" t="str">
        <x:v>JUMBO BAG VINTAGE DOILY</x:v>
      </x:c>
      <x:c r="E713" s="34" t="n">
        <x:v>773</x:v>
      </x:c>
      <x:c r="F713" s="55" t="n">
        <x:v>1500.79</x:v>
      </x:c>
      <x:c r="G713" s="58" t="n">
        <x:f>E712</x:f>
        <x:v>441</x:v>
      </x:c>
      <x:c r="H713" s="58" t="n">
        <x:f>AVERAGE(E709:E712)</x:f>
        <x:v>344.5</x:v>
      </x:c>
      <x:c r="I713" s="58" t="n">
        <x:f>AVERAGE(E705:E712)</x:f>
        <x:v>402</x:v>
      </x:c>
      <x:c r="J713" s="58" t="n">
        <x:f>IF(G713="","",ABS(E713-G713))</x:f>
        <x:v>332</x:v>
      </x:c>
      <x:c r="K713" s="58" t="n">
        <x:f>IF(H713="","",ABS(E713-H713))</x:f>
        <x:v>428.5</x:v>
      </x:c>
      <x:c r="L713" s="58" t="n">
        <x:f>IF(I713="","",ABS(E713-I713))</x:f>
        <x:v>371</x:v>
      </x:c>
      <x:c r="M713" s="23" t="str">
        <x:f>IF(B713&gt;44,"Validation","Training")</x:f>
        <x:v>Training</x:v>
      </x:c>
      <x:c r="N713" s="61" t="n">
        <x:f>IF(OR(H713="",E713=0),"",K713/E713)</x:f>
        <x:v>0.5543337645536869</x:v>
      </x:c>
    </x:row>
    <x:row r="714">
      <x:c r="A714" s="28" t="n">
        <x:v>40749</x:v>
      </x:c>
      <x:c r="B714" s="23" t="n">
        <x:v>34</x:v>
      </x:c>
      <x:c r="C714" s="23" t="str">
        <x:v>23203</x:v>
      </x:c>
      <x:c r="D714" s="23" t="str">
        <x:v>JUMBO BAG VINTAGE DOILY</x:v>
      </x:c>
      <x:c r="E714" s="34" t="n">
        <x:v>593</x:v>
      </x:c>
      <x:c r="F714" s="55" t="n">
        <x:v>1181.59</x:v>
      </x:c>
      <x:c r="G714" s="58" t="n">
        <x:f>E713</x:f>
        <x:v>773</x:v>
      </x:c>
      <x:c r="H714" s="58" t="n">
        <x:f>AVERAGE(E710:E713)</x:f>
        <x:v>461.75</x:v>
      </x:c>
      <x:c r="I714" s="58" t="n">
        <x:f>AVERAGE(E706:E713)</x:f>
        <x:v>455.25</x:v>
      </x:c>
      <x:c r="J714" s="58" t="n">
        <x:f>IF(G714="","",ABS(E714-G714))</x:f>
        <x:v>180</x:v>
      </x:c>
      <x:c r="K714" s="58" t="n">
        <x:f>IF(H714="","",ABS(E714-H714))</x:f>
        <x:v>131.25</x:v>
      </x:c>
      <x:c r="L714" s="58" t="n">
        <x:f>IF(I714="","",ABS(E714-I714))</x:f>
        <x:v>137.75</x:v>
      </x:c>
      <x:c r="M714" s="23" t="str">
        <x:f>IF(B714&gt;44,"Validation","Training")</x:f>
        <x:v>Training</x:v>
      </x:c>
      <x:c r="N714" s="61" t="n">
        <x:f>IF(OR(H714="",E714=0),"",K714/E714)</x:f>
        <x:v>0.22133220910623946</x:v>
      </x:c>
    </x:row>
    <x:row r="715">
      <x:c r="A715" s="28" t="n">
        <x:v>40756</x:v>
      </x:c>
      <x:c r="B715" s="23" t="n">
        <x:v>35</x:v>
      </x:c>
      <x:c r="C715" s="23" t="str">
        <x:v>23203</x:v>
      </x:c>
      <x:c r="D715" s="23" t="str">
        <x:v>JUMBO BAG VINTAGE DOILY</x:v>
      </x:c>
      <x:c r="E715" s="34" t="n">
        <x:v>1211</x:v>
      </x:c>
      <x:c r="F715" s="55" t="n">
        <x:v>2272.23</x:v>
      </x:c>
      <x:c r="G715" s="58" t="n">
        <x:f>E714</x:f>
        <x:v>593</x:v>
      </x:c>
      <x:c r="H715" s="58" t="n">
        <x:f>AVERAGE(E711:E714)</x:f>
        <x:v>545.5</x:v>
      </x:c>
      <x:c r="I715" s="58" t="n">
        <x:f>AVERAGE(E707:E714)</x:f>
        <x:v>471</x:v>
      </x:c>
      <x:c r="J715" s="58" t="n">
        <x:f>IF(G715="","",ABS(E715-G715))</x:f>
        <x:v>618</x:v>
      </x:c>
      <x:c r="K715" s="58" t="n">
        <x:f>IF(H715="","",ABS(E715-H715))</x:f>
        <x:v>665.5</x:v>
      </x:c>
      <x:c r="L715" s="58" t="n">
        <x:f>IF(I715="","",ABS(E715-I715))</x:f>
        <x:v>740</x:v>
      </x:c>
      <x:c r="M715" s="23" t="str">
        <x:f>IF(B715&gt;44,"Validation","Training")</x:f>
        <x:v>Training</x:v>
      </x:c>
      <x:c r="N715" s="61" t="n">
        <x:f>IF(OR(H715="",E715=0),"",K715/E715)</x:f>
        <x:v>0.5495458298926507</x:v>
      </x:c>
    </x:row>
    <x:row r="716">
      <x:c r="A716" s="28" t="n">
        <x:v>40763</x:v>
      </x:c>
      <x:c r="B716" s="23" t="n">
        <x:v>36</x:v>
      </x:c>
      <x:c r="C716" s="23" t="str">
        <x:v>23203</x:v>
      </x:c>
      <x:c r="D716" s="23" t="str">
        <x:v>JUMBO BAG VINTAGE DOILY</x:v>
      </x:c>
      <x:c r="E716" s="34" t="n">
        <x:v>1308</x:v>
      </x:c>
      <x:c r="F716" s="55" t="n">
        <x:v>2457.29</x:v>
      </x:c>
      <x:c r="G716" s="58" t="n">
        <x:f>E715</x:f>
        <x:v>1211</x:v>
      </x:c>
      <x:c r="H716" s="58" t="n">
        <x:f>AVERAGE(E712:E715)</x:f>
        <x:v>754.5</x:v>
      </x:c>
      <x:c r="I716" s="58" t="n">
        <x:f>AVERAGE(E708:E715)</x:f>
        <x:v>591.875</x:v>
      </x:c>
      <x:c r="J716" s="58" t="n">
        <x:f>IF(G716="","",ABS(E716-G716))</x:f>
        <x:v>97</x:v>
      </x:c>
      <x:c r="K716" s="58" t="n">
        <x:f>IF(H716="","",ABS(E716-H716))</x:f>
        <x:v>553.5</x:v>
      </x:c>
      <x:c r="L716" s="58" t="n">
        <x:f>IF(I716="","",ABS(E716-I716))</x:f>
        <x:v>716.125</x:v>
      </x:c>
      <x:c r="M716" s="23" t="str">
        <x:f>IF(B716&gt;44,"Validation","Training")</x:f>
        <x:v>Training</x:v>
      </x:c>
      <x:c r="N716" s="61" t="n">
        <x:f>IF(OR(H716="",E716=0),"",K716/E716)</x:f>
        <x:v>0.4231651376146789</x:v>
      </x:c>
    </x:row>
    <x:row r="717">
      <x:c r="A717" s="28" t="n">
        <x:v>40770</x:v>
      </x:c>
      <x:c r="B717" s="23" t="n">
        <x:v>37</x:v>
      </x:c>
      <x:c r="C717" s="23" t="str">
        <x:v>23203</x:v>
      </x:c>
      <x:c r="D717" s="23" t="str">
        <x:v>JUMBO BAG VINTAGE DOILY</x:v>
      </x:c>
      <x:c r="E717" s="34" t="n">
        <x:v>726</x:v>
      </x:c>
      <x:c r="F717" s="55" t="n">
        <x:v>1423.08</x:v>
      </x:c>
      <x:c r="G717" s="58" t="n">
        <x:f>E716</x:f>
        <x:v>1308</x:v>
      </x:c>
      <x:c r="H717" s="58" t="n">
        <x:f>AVERAGE(E713:E716)</x:f>
        <x:v>971.25</x:v>
      </x:c>
      <x:c r="I717" s="58" t="n">
        <x:f>AVERAGE(E709:E716)</x:f>
        <x:v>657.875</x:v>
      </x:c>
      <x:c r="J717" s="58" t="n">
        <x:f>IF(G717="","",ABS(E717-G717))</x:f>
        <x:v>582</x:v>
      </x:c>
      <x:c r="K717" s="58" t="n">
        <x:f>IF(H717="","",ABS(E717-H717))</x:f>
        <x:v>245.25</x:v>
      </x:c>
      <x:c r="L717" s="58" t="n">
        <x:f>IF(I717="","",ABS(E717-I717))</x:f>
        <x:v>68.125</x:v>
      </x:c>
      <x:c r="M717" s="23" t="str">
        <x:f>IF(B717&gt;44,"Validation","Training")</x:f>
        <x:v>Training</x:v>
      </x:c>
      <x:c r="N717" s="61" t="n">
        <x:f>IF(OR(H717="",E717=0),"",K717/E717)</x:f>
        <x:v>0.3378099173553719</x:v>
      </x:c>
    </x:row>
    <x:row r="718">
      <x:c r="A718" s="28" t="n">
        <x:v>40777</x:v>
      </x:c>
      <x:c r="B718" s="23" t="n">
        <x:v>38</x:v>
      </x:c>
      <x:c r="C718" s="23" t="str">
        <x:v>23203</x:v>
      </x:c>
      <x:c r="D718" s="23" t="str">
        <x:v>JUMBO BAG VINTAGE DOILY</x:v>
      </x:c>
      <x:c r="E718" s="34" t="n">
        <x:v>611</x:v>
      </x:c>
      <x:c r="F718" s="55" t="n">
        <x:v>1183.88</x:v>
      </x:c>
      <x:c r="G718" s="58" t="n">
        <x:f>E717</x:f>
        <x:v>726</x:v>
      </x:c>
      <x:c r="H718" s="58" t="n">
        <x:f>AVERAGE(E714:E717)</x:f>
        <x:v>959.5</x:v>
      </x:c>
      <x:c r="I718" s="58" t="n">
        <x:f>AVERAGE(E710:E717)</x:f>
        <x:v>710.625</x:v>
      </x:c>
      <x:c r="J718" s="58" t="n">
        <x:f>IF(G718="","",ABS(E718-G718))</x:f>
        <x:v>115</x:v>
      </x:c>
      <x:c r="K718" s="58" t="n">
        <x:f>IF(H718="","",ABS(E718-H718))</x:f>
        <x:v>348.5</x:v>
      </x:c>
      <x:c r="L718" s="58" t="n">
        <x:f>IF(I718="","",ABS(E718-I718))</x:f>
        <x:v>99.625</x:v>
      </x:c>
      <x:c r="M718" s="23" t="str">
        <x:f>IF(B718&gt;44,"Validation","Training")</x:f>
        <x:v>Training</x:v>
      </x:c>
      <x:c r="N718" s="61" t="n">
        <x:f>IF(OR(H718="",E718=0),"",K718/E718)</x:f>
        <x:v>0.5703764320785597</x:v>
      </x:c>
    </x:row>
    <x:row r="719">
      <x:c r="A719" s="28" t="n">
        <x:v>40784</x:v>
      </x:c>
      <x:c r="B719" s="23" t="n">
        <x:v>39</x:v>
      </x:c>
      <x:c r="C719" s="23" t="str">
        <x:v>23203</x:v>
      </x:c>
      <x:c r="D719" s="23" t="str">
        <x:v>JUMBO BAG VINTAGE DOILY</x:v>
      </x:c>
      <x:c r="E719" s="34" t="n">
        <x:v>460</x:v>
      </x:c>
      <x:c r="F719" s="55" t="n">
        <x:v>948</x:v>
      </x:c>
      <x:c r="G719" s="58" t="n">
        <x:f>E718</x:f>
        <x:v>611</x:v>
      </x:c>
      <x:c r="H719" s="58" t="n">
        <x:f>AVERAGE(E715:E718)</x:f>
        <x:v>964</x:v>
      </x:c>
      <x:c r="I719" s="58" t="n">
        <x:f>AVERAGE(E711:E718)</x:f>
        <x:v>754.75</x:v>
      </x:c>
      <x:c r="J719" s="58" t="n">
        <x:f>IF(G719="","",ABS(E719-G719))</x:f>
        <x:v>151</x:v>
      </x:c>
      <x:c r="K719" s="58" t="n">
        <x:f>IF(H719="","",ABS(E719-H719))</x:f>
        <x:v>504</x:v>
      </x:c>
      <x:c r="L719" s="58" t="n">
        <x:f>IF(I719="","",ABS(E719-I719))</x:f>
        <x:v>294.75</x:v>
      </x:c>
      <x:c r="M719" s="23" t="str">
        <x:f>IF(B719&gt;44,"Validation","Training")</x:f>
        <x:v>Training</x:v>
      </x:c>
      <x:c r="N719" s="61" t="n">
        <x:f>IF(OR(H719="",E719=0),"",K719/E719)</x:f>
        <x:v>1.0956521739130434</x:v>
      </x:c>
    </x:row>
    <x:row r="720">
      <x:c r="A720" s="28" t="n">
        <x:v>40791</x:v>
      </x:c>
      <x:c r="B720" s="23" t="n">
        <x:v>40</x:v>
      </x:c>
      <x:c r="C720" s="23" t="str">
        <x:v>23203</x:v>
      </x:c>
      <x:c r="D720" s="23" t="str">
        <x:v>JUMBO BAG VINTAGE DOILY</x:v>
      </x:c>
      <x:c r="E720" s="34" t="n">
        <x:v>523</x:v>
      </x:c>
      <x:c r="F720" s="55" t="n">
        <x:v>1085.49</x:v>
      </x:c>
      <x:c r="G720" s="58" t="n">
        <x:f>E719</x:f>
        <x:v>460</x:v>
      </x:c>
      <x:c r="H720" s="58" t="n">
        <x:f>AVERAGE(E716:E719)</x:f>
        <x:v>776.25</x:v>
      </x:c>
      <x:c r="I720" s="58" t="n">
        <x:f>AVERAGE(E712:E719)</x:f>
        <x:v>765.375</x:v>
      </x:c>
      <x:c r="J720" s="58" t="n">
        <x:f>IF(G720="","",ABS(E720-G720))</x:f>
        <x:v>63</x:v>
      </x:c>
      <x:c r="K720" s="58" t="n">
        <x:f>IF(H720="","",ABS(E720-H720))</x:f>
        <x:v>253.25</x:v>
      </x:c>
      <x:c r="L720" s="58" t="n">
        <x:f>IF(I720="","",ABS(E720-I720))</x:f>
        <x:v>242.375</x:v>
      </x:c>
      <x:c r="M720" s="23" t="str">
        <x:f>IF(B720&gt;44,"Validation","Training")</x:f>
        <x:v>Training</x:v>
      </x:c>
      <x:c r="N720" s="61" t="n">
        <x:f>IF(OR(H720="",E720=0),"",K720/E720)</x:f>
        <x:v>0.48422562141491393</x:v>
      </x:c>
    </x:row>
    <x:row r="721">
      <x:c r="A721" s="28" t="n">
        <x:v>40798</x:v>
      </x:c>
      <x:c r="B721" s="23" t="n">
        <x:v>41</x:v>
      </x:c>
      <x:c r="C721" s="23" t="str">
        <x:v>23203</x:v>
      </x:c>
      <x:c r="D721" s="23" t="str">
        <x:v>JUMBO BAG VINTAGE DOILY</x:v>
      </x:c>
      <x:c r="E721" s="34" t="n">
        <x:v>695</x:v>
      </x:c>
      <x:c r="F721" s="55" t="n">
        <x:v>1370.9</x:v>
      </x:c>
      <x:c r="G721" s="58" t="n">
        <x:f>E720</x:f>
        <x:v>523</x:v>
      </x:c>
      <x:c r="H721" s="58" t="n">
        <x:f>AVERAGE(E717:E720)</x:f>
        <x:v>580</x:v>
      </x:c>
      <x:c r="I721" s="58" t="n">
        <x:f>AVERAGE(E713:E720)</x:f>
        <x:v>775.625</x:v>
      </x:c>
      <x:c r="J721" s="58" t="n">
        <x:f>IF(G721="","",ABS(E721-G721))</x:f>
        <x:v>172</x:v>
      </x:c>
      <x:c r="K721" s="58" t="n">
        <x:f>IF(H721="","",ABS(E721-H721))</x:f>
        <x:v>115</x:v>
      </x:c>
      <x:c r="L721" s="58" t="n">
        <x:f>IF(I721="","",ABS(E721-I721))</x:f>
        <x:v>80.625</x:v>
      </x:c>
      <x:c r="M721" s="23" t="str">
        <x:f>IF(B721&gt;44,"Validation","Training")</x:f>
        <x:v>Training</x:v>
      </x:c>
      <x:c r="N721" s="61" t="n">
        <x:f>IF(OR(H721="",E721=0),"",K721/E721)</x:f>
        <x:v>0.16546762589928057</x:v>
      </x:c>
    </x:row>
    <x:row r="722">
      <x:c r="A722" s="28" t="n">
        <x:v>40805</x:v>
      </x:c>
      <x:c r="B722" s="23" t="n">
        <x:v>42</x:v>
      </x:c>
      <x:c r="C722" s="23" t="str">
        <x:v>23203</x:v>
      </x:c>
      <x:c r="D722" s="23" t="str">
        <x:v>JUMBO BAG VINTAGE DOILY</x:v>
      </x:c>
      <x:c r="E722" s="34" t="n">
        <x:v>774</x:v>
      </x:c>
      <x:c r="F722" s="55" t="n">
        <x:v>1531.82</x:v>
      </x:c>
      <x:c r="G722" s="58" t="n">
        <x:f>E721</x:f>
        <x:v>695</x:v>
      </x:c>
      <x:c r="H722" s="58" t="n">
        <x:f>AVERAGE(E718:E721)</x:f>
        <x:v>572.25</x:v>
      </x:c>
      <x:c r="I722" s="58" t="n">
        <x:f>AVERAGE(E714:E721)</x:f>
        <x:v>765.875</x:v>
      </x:c>
      <x:c r="J722" s="58" t="n">
        <x:f>IF(G722="","",ABS(E722-G722))</x:f>
        <x:v>79</x:v>
      </x:c>
      <x:c r="K722" s="58" t="n">
        <x:f>IF(H722="","",ABS(E722-H722))</x:f>
        <x:v>201.75</x:v>
      </x:c>
      <x:c r="L722" s="58" t="n">
        <x:f>IF(I722="","",ABS(E722-I722))</x:f>
        <x:v>8.125</x:v>
      </x:c>
      <x:c r="M722" s="23" t="str">
        <x:f>IF(B722&gt;44,"Validation","Training")</x:f>
        <x:v>Training</x:v>
      </x:c>
      <x:c r="N722" s="61" t="n">
        <x:f>IF(OR(H722="",E722=0),"",K722/E722)</x:f>
        <x:v>0.2606589147286822</x:v>
      </x:c>
    </x:row>
    <x:row r="723">
      <x:c r="A723" s="28" t="n">
        <x:v>40812</x:v>
      </x:c>
      <x:c r="B723" s="23" t="n">
        <x:v>43</x:v>
      </x:c>
      <x:c r="C723" s="23" t="str">
        <x:v>23203</x:v>
      </x:c>
      <x:c r="D723" s="23" t="str">
        <x:v>JUMBO BAG VINTAGE DOILY</x:v>
      </x:c>
      <x:c r="E723" s="34" t="n">
        <x:v>570</x:v>
      </x:c>
      <x:c r="F723" s="55" t="n">
        <x:v>1134.1</x:v>
      </x:c>
      <x:c r="G723" s="58" t="n">
        <x:f>E722</x:f>
        <x:v>774</x:v>
      </x:c>
      <x:c r="H723" s="58" t="n">
        <x:f>AVERAGE(E719:E722)</x:f>
        <x:v>613</x:v>
      </x:c>
      <x:c r="I723" s="58" t="n">
        <x:f>AVERAGE(E715:E722)</x:f>
        <x:v>788.5</x:v>
      </x:c>
      <x:c r="J723" s="58" t="n">
        <x:f>IF(G723="","",ABS(E723-G723))</x:f>
        <x:v>204</x:v>
      </x:c>
      <x:c r="K723" s="58" t="n">
        <x:f>IF(H723="","",ABS(E723-H723))</x:f>
        <x:v>43</x:v>
      </x:c>
      <x:c r="L723" s="58" t="n">
        <x:f>IF(I723="","",ABS(E723-I723))</x:f>
        <x:v>218.5</x:v>
      </x:c>
      <x:c r="M723" s="23" t="str">
        <x:f>IF(B723&gt;44,"Validation","Training")</x:f>
        <x:v>Training</x:v>
      </x:c>
      <x:c r="N723" s="61" t="n">
        <x:f>IF(OR(H723="",E723=0),"",K723/E723)</x:f>
        <x:v>0.07543859649122807</x:v>
      </x:c>
    </x:row>
    <x:row r="724">
      <x:c r="A724" s="28" t="n">
        <x:v>40819</x:v>
      </x:c>
      <x:c r="B724" s="23" t="n">
        <x:v>44</x:v>
      </x:c>
      <x:c r="C724" s="23" t="str">
        <x:v>23203</x:v>
      </x:c>
      <x:c r="D724" s="23" t="str">
        <x:v>JUMBO BAG VINTAGE DOILY</x:v>
      </x:c>
      <x:c r="E724" s="34" t="n">
        <x:v>1041</x:v>
      </x:c>
      <x:c r="F724" s="55" t="n">
        <x:v>1960.58</x:v>
      </x:c>
      <x:c r="G724" s="58" t="n">
        <x:f>E723</x:f>
        <x:v>570</x:v>
      </x:c>
      <x:c r="H724" s="58" t="n">
        <x:f>AVERAGE(E720:E723)</x:f>
        <x:v>640.5</x:v>
      </x:c>
      <x:c r="I724" s="58" t="n">
        <x:f>AVERAGE(E716:E723)</x:f>
        <x:v>708.375</x:v>
      </x:c>
      <x:c r="J724" s="58" t="n">
        <x:f>IF(G724="","",ABS(E724-G724))</x:f>
        <x:v>471</x:v>
      </x:c>
      <x:c r="K724" s="58" t="n">
        <x:f>IF(H724="","",ABS(E724-H724))</x:f>
        <x:v>400.5</x:v>
      </x:c>
      <x:c r="L724" s="58" t="n">
        <x:f>IF(I724="","",ABS(E724-I724))</x:f>
        <x:v>332.625</x:v>
      </x:c>
      <x:c r="M724" s="23" t="str">
        <x:f>IF(B724&gt;44,"Validation","Training")</x:f>
        <x:v>Training</x:v>
      </x:c>
      <x:c r="N724" s="61" t="n">
        <x:f>IF(OR(H724="",E724=0),"",K724/E724)</x:f>
        <x:v>0.38472622478386165</x:v>
      </x:c>
    </x:row>
    <x:row r="725">
      <x:c r="A725" s="28" t="n">
        <x:v>40826</x:v>
      </x:c>
      <x:c r="B725" s="23" t="n">
        <x:v>45</x:v>
      </x:c>
      <x:c r="C725" s="23" t="str">
        <x:v>23203</x:v>
      </x:c>
      <x:c r="D725" s="23" t="str">
        <x:v>JUMBO BAG VINTAGE DOILY</x:v>
      </x:c>
      <x:c r="E725" s="34" t="n">
        <x:v>424</x:v>
      </x:c>
      <x:c r="F725" s="55" t="n">
        <x:v>832.12</x:v>
      </x:c>
      <x:c r="G725" s="58" t="n">
        <x:f>E724</x:f>
        <x:v>1041</x:v>
      </x:c>
      <x:c r="H725" s="58" t="n">
        <x:f>AVERAGE(E721:E724)</x:f>
        <x:v>770</x:v>
      </x:c>
      <x:c r="I725" s="58" t="n">
        <x:f>AVERAGE(E717:E724)</x:f>
        <x:v>675</x:v>
      </x:c>
      <x:c r="J725" s="58" t="n">
        <x:f>IF(G725="","",ABS(E725-G725))</x:f>
        <x:v>617</x:v>
      </x:c>
      <x:c r="K725" s="58" t="n">
        <x:f>IF(H725="","",ABS(E725-H725))</x:f>
        <x:v>346</x:v>
      </x:c>
      <x:c r="L725" s="58" t="n">
        <x:f>IF(I725="","",ABS(E725-I725))</x:f>
        <x:v>251</x:v>
      </x:c>
      <x:c r="M725" s="23" t="str">
        <x:f>IF(B725&gt;44,"Validation","Training")</x:f>
        <x:v>Validation</x:v>
      </x:c>
      <x:c r="N725" s="61" t="n">
        <x:f>IF(OR(H725="",E725=0),"",K725/E725)</x:f>
        <x:v>0.8160377358490566</x:v>
      </x:c>
    </x:row>
    <x:row r="726">
      <x:c r="A726" s="28" t="n">
        <x:v>40833</x:v>
      </x:c>
      <x:c r="B726" s="23" t="n">
        <x:v>46</x:v>
      </x:c>
      <x:c r="C726" s="23" t="str">
        <x:v>23203</x:v>
      </x:c>
      <x:c r="D726" s="23" t="str">
        <x:v>JUMBO BAG VINTAGE DOILY</x:v>
      </x:c>
      <x:c r="E726" s="34" t="n">
        <x:v>219</x:v>
      </x:c>
      <x:c r="F726" s="55" t="n">
        <x:v>459.62</x:v>
      </x:c>
      <x:c r="G726" s="58" t="n">
        <x:f>E725</x:f>
        <x:v>424</x:v>
      </x:c>
      <x:c r="H726" s="58" t="n">
        <x:f>AVERAGE(E722:E725)</x:f>
        <x:v>702.25</x:v>
      </x:c>
      <x:c r="I726" s="58" t="n">
        <x:f>AVERAGE(E718:E725)</x:f>
        <x:v>637.25</x:v>
      </x:c>
      <x:c r="J726" s="58" t="n">
        <x:f>IF(G726="","",ABS(E726-G726))</x:f>
        <x:v>205</x:v>
      </x:c>
      <x:c r="K726" s="58" t="n">
        <x:f>IF(H726="","",ABS(E726-H726))</x:f>
        <x:v>483.25</x:v>
      </x:c>
      <x:c r="L726" s="58" t="n">
        <x:f>IF(I726="","",ABS(E726-I726))</x:f>
        <x:v>418.25</x:v>
      </x:c>
      <x:c r="M726" s="23" t="str">
        <x:f>IF(B726&gt;44,"Validation","Training")</x:f>
        <x:v>Validation</x:v>
      </x:c>
      <x:c r="N726" s="61" t="n">
        <x:f>IF(OR(H726="",E726=0),"",K726/E726)</x:f>
        <x:v>2.2066210045662102</x:v>
      </x:c>
    </x:row>
    <x:row r="727">
      <x:c r="A727" s="28" t="n">
        <x:v>40840</x:v>
      </x:c>
      <x:c r="B727" s="23" t="n">
        <x:v>47</x:v>
      </x:c>
      <x:c r="C727" s="23" t="str">
        <x:v>23203</x:v>
      </x:c>
      <x:c r="D727" s="23" t="str">
        <x:v>JUMBO BAG VINTAGE DOILY</x:v>
      </x:c>
      <x:c r="E727" s="34" t="n">
        <x:v>556</x:v>
      </x:c>
      <x:c r="F727" s="55" t="n">
        <x:v>1071.53</x:v>
      </x:c>
      <x:c r="G727" s="58" t="n">
        <x:f>E726</x:f>
        <x:v>219</x:v>
      </x:c>
      <x:c r="H727" s="58" t="n">
        <x:f>AVERAGE(E723:E726)</x:f>
        <x:v>563.5</x:v>
      </x:c>
      <x:c r="I727" s="58" t="n">
        <x:f>AVERAGE(E719:E726)</x:f>
        <x:v>588.25</x:v>
      </x:c>
      <x:c r="J727" s="58" t="n">
        <x:f>IF(G727="","",ABS(E727-G727))</x:f>
        <x:v>337</x:v>
      </x:c>
      <x:c r="K727" s="58" t="n">
        <x:f>IF(H727="","",ABS(E727-H727))</x:f>
        <x:v>7.5</x:v>
      </x:c>
      <x:c r="L727" s="58" t="n">
        <x:f>IF(I727="","",ABS(E727-I727))</x:f>
        <x:v>32.25</x:v>
      </x:c>
      <x:c r="M727" s="23" t="str">
        <x:f>IF(B727&gt;44,"Validation","Training")</x:f>
        <x:v>Validation</x:v>
      </x:c>
      <x:c r="N727" s="61" t="n">
        <x:f>IF(OR(H727="",E727=0),"",K727/E727)</x:f>
        <x:v>0.013489208633093525</x:v>
      </x:c>
    </x:row>
    <x:row r="728">
      <x:c r="A728" s="28" t="n">
        <x:v>40847</x:v>
      </x:c>
      <x:c r="B728" s="23" t="n">
        <x:v>48</x:v>
      </x:c>
      <x:c r="C728" s="23" t="str">
        <x:v>23203</x:v>
      </x:c>
      <x:c r="D728" s="23" t="str">
        <x:v>JUMBO BAG VINTAGE DOILY</x:v>
      </x:c>
      <x:c r="E728" s="34" t="n">
        <x:v>495</x:v>
      </x:c>
      <x:c r="F728" s="55" t="n">
        <x:v>1064.3</x:v>
      </x:c>
      <x:c r="G728" s="58" t="n">
        <x:f>E727</x:f>
        <x:v>556</x:v>
      </x:c>
      <x:c r="H728" s="58" t="n">
        <x:f>AVERAGE(E724:E727)</x:f>
        <x:v>560</x:v>
      </x:c>
      <x:c r="I728" s="58" t="n">
        <x:f>AVERAGE(E720:E727)</x:f>
        <x:v>600.25</x:v>
      </x:c>
      <x:c r="J728" s="58" t="n">
        <x:f>IF(G728="","",ABS(E728-G728))</x:f>
        <x:v>61</x:v>
      </x:c>
      <x:c r="K728" s="58" t="n">
        <x:f>IF(H728="","",ABS(E728-H728))</x:f>
        <x:v>65</x:v>
      </x:c>
      <x:c r="L728" s="58" t="n">
        <x:f>IF(I728="","",ABS(E728-I728))</x:f>
        <x:v>105.25</x:v>
      </x:c>
      <x:c r="M728" s="23" t="str">
        <x:f>IF(B728&gt;44,"Validation","Training")</x:f>
        <x:v>Validation</x:v>
      </x:c>
      <x:c r="N728" s="61" t="n">
        <x:f>IF(OR(H728="",E728=0),"",K728/E728)</x:f>
        <x:v>0.13131313131313133</x:v>
      </x:c>
    </x:row>
    <x:row r="729">
      <x:c r="A729" s="28" t="n">
        <x:v>40854</x:v>
      </x:c>
      <x:c r="B729" s="23" t="n">
        <x:v>49</x:v>
      </x:c>
      <x:c r="C729" s="23" t="str">
        <x:v>23203</x:v>
      </x:c>
      <x:c r="D729" s="23" t="str">
        <x:v>JUMBO BAG VINTAGE DOILY</x:v>
      </x:c>
      <x:c r="E729" s="34" t="n">
        <x:v>1714</x:v>
      </x:c>
      <x:c r="F729" s="55" t="n">
        <x:v>4384.17</x:v>
      </x:c>
      <x:c r="G729" s="58" t="n">
        <x:f>E728</x:f>
        <x:v>495</x:v>
      </x:c>
      <x:c r="H729" s="58" t="n">
        <x:f>AVERAGE(E725:E728)</x:f>
        <x:v>423.5</x:v>
      </x:c>
      <x:c r="I729" s="58" t="n">
        <x:f>AVERAGE(E721:E728)</x:f>
        <x:v>596.75</x:v>
      </x:c>
      <x:c r="J729" s="58" t="n">
        <x:f>IF(G729="","",ABS(E729-G729))</x:f>
        <x:v>1219</x:v>
      </x:c>
      <x:c r="K729" s="58" t="n">
        <x:f>IF(H729="","",ABS(E729-H729))</x:f>
        <x:v>1290.5</x:v>
      </x:c>
      <x:c r="L729" s="58" t="n">
        <x:f>IF(I729="","",ABS(E729-I729))</x:f>
        <x:v>1117.25</x:v>
      </x:c>
      <x:c r="M729" s="23" t="str">
        <x:f>IF(B729&gt;44,"Validation","Training")</x:f>
        <x:v>Validation</x:v>
      </x:c>
      <x:c r="N729" s="61" t="n">
        <x:f>IF(OR(H729="",E729=0),"",K729/E729)</x:f>
        <x:v>0.7529171528588098</x:v>
      </x:c>
    </x:row>
    <x:row r="730">
      <x:c r="A730" s="28" t="n">
        <x:v>40861</x:v>
      </x:c>
      <x:c r="B730" s="23" t="n">
        <x:v>50</x:v>
      </x:c>
      <x:c r="C730" s="23" t="str">
        <x:v>23203</x:v>
      </x:c>
      <x:c r="D730" s="23" t="str">
        <x:v>JUMBO BAG VINTAGE DOILY</x:v>
      </x:c>
      <x:c r="E730" s="34" t="n">
        <x:v>1122</x:v>
      </x:c>
      <x:c r="F730" s="55" t="n">
        <x:v>2899.95</x:v>
      </x:c>
      <x:c r="G730" s="58" t="n">
        <x:f>E729</x:f>
        <x:v>1714</x:v>
      </x:c>
      <x:c r="H730" s="58" t="n">
        <x:f>AVERAGE(E726:E729)</x:f>
        <x:v>746</x:v>
      </x:c>
      <x:c r="I730" s="58" t="n">
        <x:f>AVERAGE(E722:E729)</x:f>
        <x:v>724.125</x:v>
      </x:c>
      <x:c r="J730" s="58" t="n">
        <x:f>IF(G730="","",ABS(E730-G730))</x:f>
        <x:v>592</x:v>
      </x:c>
      <x:c r="K730" s="58" t="n">
        <x:f>IF(H730="","",ABS(E730-H730))</x:f>
        <x:v>376</x:v>
      </x:c>
      <x:c r="L730" s="58" t="n">
        <x:f>IF(I730="","",ABS(E730-I730))</x:f>
        <x:v>397.875</x:v>
      </x:c>
      <x:c r="M730" s="23" t="str">
        <x:f>IF(B730&gt;44,"Validation","Training")</x:f>
        <x:v>Validation</x:v>
      </x:c>
      <x:c r="N730" s="61" t="n">
        <x:f>IF(OR(H730="",E730=0),"",K730/E730)</x:f>
        <x:v>0.33511586452762926</x:v>
      </x:c>
    </x:row>
    <x:row r="731">
      <x:c r="A731" s="28" t="n">
        <x:v>40868</x:v>
      </x:c>
      <x:c r="B731" s="23" t="n">
        <x:v>51</x:v>
      </x:c>
      <x:c r="C731" s="23" t="str">
        <x:v>23203</x:v>
      </x:c>
      <x:c r="D731" s="23" t="str">
        <x:v>JUMBO BAG VINTAGE DOILY</x:v>
      </x:c>
      <x:c r="E731" s="34" t="n">
        <x:v>530</x:v>
      </x:c>
      <x:c r="F731" s="55" t="n">
        <x:v>1075.15</x:v>
      </x:c>
      <x:c r="G731" s="58" t="n">
        <x:f>E730</x:f>
        <x:v>1122</x:v>
      </x:c>
      <x:c r="H731" s="58" t="n">
        <x:f>AVERAGE(E727:E730)</x:f>
        <x:v>971.75</x:v>
      </x:c>
      <x:c r="I731" s="58" t="n">
        <x:f>AVERAGE(E723:E730)</x:f>
        <x:v>767.625</x:v>
      </x:c>
      <x:c r="J731" s="58" t="n">
        <x:f>IF(G731="","",ABS(E731-G731))</x:f>
        <x:v>592</x:v>
      </x:c>
      <x:c r="K731" s="58" t="n">
        <x:f>IF(H731="","",ABS(E731-H731))</x:f>
        <x:v>441.75</x:v>
      </x:c>
      <x:c r="L731" s="58" t="n">
        <x:f>IF(I731="","",ABS(E731-I731))</x:f>
        <x:v>237.625</x:v>
      </x:c>
      <x:c r="M731" s="23" t="str">
        <x:f>IF(B731&gt;44,"Validation","Training")</x:f>
        <x:v>Validation</x:v>
      </x:c>
      <x:c r="N731" s="61" t="n">
        <x:f>IF(OR(H731="",E731=0),"",K731/E731)</x:f>
        <x:v>0.8334905660377359</x:v>
      </x:c>
    </x:row>
    <x:row r="732">
      <x:c r="A732" s="28" t="n">
        <x:v>40875</x:v>
      </x:c>
      <x:c r="B732" s="23" t="n">
        <x:v>52</x:v>
      </x:c>
      <x:c r="C732" s="23" t="str">
        <x:v>23203</x:v>
      </x:c>
      <x:c r="D732" s="23" t="str">
        <x:v>JUMBO BAG VINTAGE DOILY</x:v>
      </x:c>
      <x:c r="E732" s="34" t="n">
        <x:v>336</x:v>
      </x:c>
      <x:c r="F732" s="55" t="n">
        <x:v>733.73</x:v>
      </x:c>
      <x:c r="G732" s="58" t="n">
        <x:f>E731</x:f>
        <x:v>530</x:v>
      </x:c>
      <x:c r="H732" s="58" t="n">
        <x:f>AVERAGE(E728:E731)</x:f>
        <x:v>965.25</x:v>
      </x:c>
      <x:c r="I732" s="58" t="n">
        <x:f>AVERAGE(E724:E731)</x:f>
        <x:v>762.625</x:v>
      </x:c>
      <x:c r="J732" s="58" t="n">
        <x:f>IF(G732="","",ABS(E732-G732))</x:f>
        <x:v>194</x:v>
      </x:c>
      <x:c r="K732" s="58" t="n">
        <x:f>IF(H732="","",ABS(E732-H732))</x:f>
        <x:v>629.25</x:v>
      </x:c>
      <x:c r="L732" s="58" t="n">
        <x:f>IF(I732="","",ABS(E732-I732))</x:f>
        <x:v>426.625</x:v>
      </x:c>
      <x:c r="M732" s="23" t="str">
        <x:f>IF(B732&gt;44,"Validation","Training")</x:f>
        <x:v>Validation</x:v>
      </x:c>
      <x:c r="N732" s="61" t="n">
        <x:f>IF(OR(H732="",E732=0),"",K732/E732)</x:f>
        <x:v>1.8727678571428572</x:v>
      </x:c>
    </x:row>
    <x:row r="733">
      <x:c r="A733" s="28" t="n">
        <x:v>40518</x:v>
      </x:c>
      <x:c r="B733" s="23" t="n">
        <x:v>1</x:v>
      </x:c>
      <x:c r="C733" s="23" t="str">
        <x:v>22720</x:v>
      </x:c>
      <x:c r="D733" s="23" t="str">
        <x:v>SET OF 3 CAKE TINS PANTRY DESIGN</x:v>
      </x:c>
      <x:c r="E733" s="34" t="n">
        <x:v>0</x:v>
      </x:c>
      <x:c r="F733" s="55" t="n">
        <x:v>0</x:v>
      </x:c>
      <x:c r="G733" s="58" t="str">
        <x:f>""</x:f>
      </x:c>
      <x:c r="H733" s="58" t="str">
        <x:f>""</x:f>
      </x:c>
      <x:c r="I733" s="58" t="str">
        <x:f>""</x:f>
      </x:c>
      <x:c r="J733" s="58" t="str">
        <x:f>IF(G733="","",ABS(E733-G733))</x:f>
      </x:c>
      <x:c r="K733" s="58" t="str">
        <x:f>IF(H733="","",ABS(E733-H733))</x:f>
      </x:c>
      <x:c r="L733" s="58" t="str">
        <x:f>IF(I733="","",ABS(E733-I733))</x:f>
      </x:c>
      <x:c r="M733" s="23" t="str">
        <x:f>IF(B733&gt;44,"Validation","Training")</x:f>
        <x:v>Training</x:v>
      </x:c>
      <x:c r="N733" s="61" t="str">
        <x:f>IF(OR(H733="",E733=0),"",K733/E733)</x:f>
      </x:c>
    </x:row>
    <x:row r="734">
      <x:c r="A734" s="28" t="n">
        <x:v>40525</x:v>
      </x:c>
      <x:c r="B734" s="23" t="n">
        <x:v>2</x:v>
      </x:c>
      <x:c r="C734" s="23" t="str">
        <x:v>22720</x:v>
      </x:c>
      <x:c r="D734" s="23" t="str">
        <x:v>SET OF 3 CAKE TINS PANTRY DESIGN</x:v>
      </x:c>
      <x:c r="E734" s="34" t="n">
        <x:v>194</x:v>
      </x:c>
      <x:c r="F734" s="55" t="n">
        <x:v>1056.04</x:v>
      </x:c>
      <x:c r="G734" s="58" t="n">
        <x:f>E733</x:f>
        <x:v>0</x:v>
      </x:c>
      <x:c r="H734" s="58" t="str">
        <x:f>""</x:f>
      </x:c>
      <x:c r="I734" s="58" t="str">
        <x:f>""</x:f>
      </x:c>
      <x:c r="J734" s="58" t="str">
        <x:f>IF(G734="","",ABS(E734-G734))</x:f>
      </x:c>
      <x:c r="K734" s="58" t="str">
        <x:f>IF(H734="","",ABS(E734-H734))</x:f>
      </x:c>
      <x:c r="L734" s="58" t="str">
        <x:f>IF(I734="","",ABS(E734-I734))</x:f>
      </x:c>
      <x:c r="M734" s="23" t="str">
        <x:f>IF(B734&gt;44,"Validation","Training")</x:f>
        <x:v>Training</x:v>
      </x:c>
      <x:c r="N734" s="61" t="str">
        <x:f>IF(OR(H734="",E734=0),"",K734/E734)</x:f>
      </x:c>
    </x:row>
    <x:row r="735">
      <x:c r="A735" s="28" t="n">
        <x:v>40532</x:v>
      </x:c>
      <x:c r="B735" s="23" t="n">
        <x:v>3</x:v>
      </x:c>
      <x:c r="C735" s="23" t="str">
        <x:v>22720</x:v>
      </x:c>
      <x:c r="D735" s="23" t="str">
        <x:v>SET OF 3 CAKE TINS PANTRY DESIGN</x:v>
      </x:c>
      <x:c r="E735" s="34" t="n">
        <x:v>60</x:v>
      </x:c>
      <x:c r="F735" s="55" t="n">
        <x:v>351.63</x:v>
      </x:c>
      <x:c r="G735" s="58" t="n">
        <x:f>E734</x:f>
        <x:v>194</x:v>
      </x:c>
      <x:c r="H735" s="58" t="str">
        <x:f>""</x:f>
      </x:c>
      <x:c r="I735" s="58" t="str">
        <x:f>""</x:f>
      </x:c>
      <x:c r="J735" s="58" t="n">
        <x:f>IF(G735="","",ABS(E735-G735))</x:f>
        <x:v>134</x:v>
      </x:c>
      <x:c r="K735" s="58" t="str">
        <x:f>IF(H735="","",ABS(E735-H735))</x:f>
      </x:c>
      <x:c r="L735" s="58" t="str">
        <x:f>IF(I735="","",ABS(E735-I735))</x:f>
      </x:c>
      <x:c r="M735" s="23" t="str">
        <x:f>IF(B735&gt;44,"Validation","Training")</x:f>
        <x:v>Training</x:v>
      </x:c>
      <x:c r="N735" s="61" t="str">
        <x:f>IF(OR(H735="",E735=0),"",K735/E735)</x:f>
      </x:c>
    </x:row>
    <x:row r="736">
      <x:c r="A736" s="28" t="n">
        <x:v>40539</x:v>
      </x:c>
      <x:c r="B736" s="23" t="n">
        <x:v>4</x:v>
      </x:c>
      <x:c r="C736" s="23" t="str">
        <x:v>22720</x:v>
      </x:c>
      <x:c r="D736" s="23" t="str">
        <x:v>SET OF 3 CAKE TINS PANTRY DESIGN</x:v>
      </x:c>
      <x:c r="E736" s="34" t="n">
        <x:v>0</x:v>
      </x:c>
      <x:c r="F736" s="55" t="n">
        <x:v>0</x:v>
      </x:c>
      <x:c r="G736" s="58" t="n">
        <x:f>E735</x:f>
        <x:v>60</x:v>
      </x:c>
      <x:c r="H736" s="58" t="str">
        <x:f>""</x:f>
      </x:c>
      <x:c r="I736" s="58" t="str">
        <x:f>""</x:f>
      </x:c>
      <x:c r="J736" s="58" t="n">
        <x:f>IF(G736="","",ABS(E736-G736))</x:f>
        <x:v>60</x:v>
      </x:c>
      <x:c r="K736" s="58" t="str">
        <x:f>IF(H736="","",ABS(E736-H736))</x:f>
      </x:c>
      <x:c r="L736" s="58" t="str">
        <x:f>IF(I736="","",ABS(E736-I736))</x:f>
      </x:c>
      <x:c r="M736" s="23" t="str">
        <x:f>IF(B736&gt;44,"Validation","Training")</x:f>
        <x:v>Training</x:v>
      </x:c>
      <x:c r="N736" s="61" t="str">
        <x:f>IF(OR(H736="",E736=0),"",K736/E736)</x:f>
      </x:c>
    </x:row>
    <x:row r="737">
      <x:c r="A737" s="28" t="n">
        <x:v>40546</x:v>
      </x:c>
      <x:c r="B737" s="23" t="n">
        <x:v>5</x:v>
      </x:c>
      <x:c r="C737" s="23" t="str">
        <x:v>22720</x:v>
      </x:c>
      <x:c r="D737" s="23" t="str">
        <x:v>SET OF 3 CAKE TINS PANTRY DESIGN</x:v>
      </x:c>
      <x:c r="E737" s="34" t="n">
        <x:v>412</x:v>
      </x:c>
      <x:c r="F737" s="55" t="n">
        <x:v>1833.14</x:v>
      </x:c>
      <x:c r="G737" s="58" t="n">
        <x:f>E736</x:f>
        <x:v>0</x:v>
      </x:c>
      <x:c r="H737" s="58" t="n">
        <x:f>AVERAGE(E733:E736)</x:f>
        <x:v>63.5</x:v>
      </x:c>
      <x:c r="I737" s="58" t="str">
        <x:f>""</x:f>
      </x:c>
      <x:c r="J737" s="58" t="str">
        <x:f>IF(G737="","",ABS(E737-G737))</x:f>
      </x:c>
      <x:c r="K737" s="58" t="n">
        <x:f>IF(H737="","",ABS(E737-H737))</x:f>
        <x:v>348.5</x:v>
      </x:c>
      <x:c r="L737" s="58" t="str">
        <x:f>IF(I737="","",ABS(E737-I737))</x:f>
      </x:c>
      <x:c r="M737" s="23" t="str">
        <x:f>IF(B737&gt;44,"Validation","Training")</x:f>
        <x:v>Training</x:v>
      </x:c>
      <x:c r="N737" s="61" t="n">
        <x:f>IF(OR(H737="",E737=0),"",K737/E737)</x:f>
        <x:v>0.845873786407767</x:v>
      </x:c>
    </x:row>
    <x:row r="738">
      <x:c r="A738" s="28" t="n">
        <x:v>40553</x:v>
      </x:c>
      <x:c r="B738" s="23" t="n">
        <x:v>6</x:v>
      </x:c>
      <x:c r="C738" s="23" t="str">
        <x:v>22720</x:v>
      </x:c>
      <x:c r="D738" s="23" t="str">
        <x:v>SET OF 3 CAKE TINS PANTRY DESIGN</x:v>
      </x:c>
      <x:c r="E738" s="34" t="n">
        <x:v>249</x:v>
      </x:c>
      <x:c r="F738" s="55" t="n">
        <x:v>1144.84</x:v>
      </x:c>
      <x:c r="G738" s="58" t="n">
        <x:f>E737</x:f>
        <x:v>412</x:v>
      </x:c>
      <x:c r="H738" s="58" t="n">
        <x:f>AVERAGE(E734:E737)</x:f>
        <x:v>166.5</x:v>
      </x:c>
      <x:c r="I738" s="58" t="str">
        <x:f>""</x:f>
      </x:c>
      <x:c r="J738" s="58" t="n">
        <x:f>IF(G738="","",ABS(E738-G738))</x:f>
        <x:v>163</x:v>
      </x:c>
      <x:c r="K738" s="58" t="n">
        <x:f>IF(H738="","",ABS(E738-H738))</x:f>
        <x:v>82.5</x:v>
      </x:c>
      <x:c r="L738" s="58" t="str">
        <x:f>IF(I738="","",ABS(E738-I738))</x:f>
      </x:c>
      <x:c r="M738" s="23" t="str">
        <x:f>IF(B738&gt;44,"Validation","Training")</x:f>
        <x:v>Training</x:v>
      </x:c>
      <x:c r="N738" s="61" t="n">
        <x:f>IF(OR(H738="",E738=0),"",K738/E738)</x:f>
        <x:v>0.3313253012048193</x:v>
      </x:c>
    </x:row>
    <x:row r="739">
      <x:c r="A739" s="28" t="n">
        <x:v>40560</x:v>
      </x:c>
      <x:c r="B739" s="23" t="n">
        <x:v>7</x:v>
      </x:c>
      <x:c r="C739" s="23" t="str">
        <x:v>22720</x:v>
      </x:c>
      <x:c r="D739" s="23" t="str">
        <x:v>SET OF 3 CAKE TINS PANTRY DESIGN</x:v>
      </x:c>
      <x:c r="E739" s="34" t="n">
        <x:v>188</x:v>
      </x:c>
      <x:c r="F739" s="55" t="n">
        <x:v>910.12</x:v>
      </x:c>
      <x:c r="G739" s="58" t="n">
        <x:f>E738</x:f>
        <x:v>249</x:v>
      </x:c>
      <x:c r="H739" s="58" t="n">
        <x:f>AVERAGE(E735:E738)</x:f>
        <x:v>180.25</x:v>
      </x:c>
      <x:c r="I739" s="58" t="str">
        <x:f>""</x:f>
      </x:c>
      <x:c r="J739" s="58" t="n">
        <x:f>IF(G739="","",ABS(E739-G739))</x:f>
        <x:v>61</x:v>
      </x:c>
      <x:c r="K739" s="58" t="n">
        <x:f>IF(H739="","",ABS(E739-H739))</x:f>
        <x:v>7.75</x:v>
      </x:c>
      <x:c r="L739" s="58" t="str">
        <x:f>IF(I739="","",ABS(E739-I739))</x:f>
      </x:c>
      <x:c r="M739" s="23" t="str">
        <x:f>IF(B739&gt;44,"Validation","Training")</x:f>
        <x:v>Training</x:v>
      </x:c>
      <x:c r="N739" s="61" t="n">
        <x:f>IF(OR(H739="",E739=0),"",K739/E739)</x:f>
        <x:v>0.041223404255319146</x:v>
      </x:c>
    </x:row>
    <x:row r="740">
      <x:c r="A740" s="28" t="n">
        <x:v>40567</x:v>
      </x:c>
      <x:c r="B740" s="23" t="n">
        <x:v>8</x:v>
      </x:c>
      <x:c r="C740" s="23" t="str">
        <x:v>22720</x:v>
      </x:c>
      <x:c r="D740" s="23" t="str">
        <x:v>SET OF 3 CAKE TINS PANTRY DESIGN</x:v>
      </x:c>
      <x:c r="E740" s="34" t="n">
        <x:v>237</x:v>
      </x:c>
      <x:c r="F740" s="55" t="n">
        <x:v>1186.27</x:v>
      </x:c>
      <x:c r="G740" s="58" t="n">
        <x:f>E739</x:f>
        <x:v>188</x:v>
      </x:c>
      <x:c r="H740" s="58" t="n">
        <x:f>AVERAGE(E736:E739)</x:f>
        <x:v>212.25</x:v>
      </x:c>
      <x:c r="I740" s="58" t="str">
        <x:f>""</x:f>
      </x:c>
      <x:c r="J740" s="58" t="n">
        <x:f>IF(G740="","",ABS(E740-G740))</x:f>
        <x:v>49</x:v>
      </x:c>
      <x:c r="K740" s="58" t="n">
        <x:f>IF(H740="","",ABS(E740-H740))</x:f>
        <x:v>24.75</x:v>
      </x:c>
      <x:c r="L740" s="58" t="str">
        <x:f>IF(I740="","",ABS(E740-I740))</x:f>
      </x:c>
      <x:c r="M740" s="23" t="str">
        <x:f>IF(B740&gt;44,"Validation","Training")</x:f>
        <x:v>Training</x:v>
      </x:c>
      <x:c r="N740" s="61" t="n">
        <x:f>IF(OR(H740="",E740=0),"",K740/E740)</x:f>
        <x:v>0.10443037974683544</x:v>
      </x:c>
    </x:row>
    <x:row r="741">
      <x:c r="A741" s="28" t="n">
        <x:v>40574</x:v>
      </x:c>
      <x:c r="B741" s="23" t="n">
        <x:v>9</x:v>
      </x:c>
      <x:c r="C741" s="23" t="str">
        <x:v>22720</x:v>
      </x:c>
      <x:c r="D741" s="23" t="str">
        <x:v>SET OF 3 CAKE TINS PANTRY DESIGN</x:v>
      </x:c>
      <x:c r="E741" s="34" t="n">
        <x:v>150</x:v>
      </x:c>
      <x:c r="F741" s="55" t="n">
        <x:v>738.1</x:v>
      </x:c>
      <x:c r="G741" s="58" t="n">
        <x:f>E740</x:f>
        <x:v>237</x:v>
      </x:c>
      <x:c r="H741" s="58" t="n">
        <x:f>AVERAGE(E737:E740)</x:f>
        <x:v>271.5</x:v>
      </x:c>
      <x:c r="I741" s="58" t="n">
        <x:f>AVERAGE(E733:E740)</x:f>
        <x:v>167.5</x:v>
      </x:c>
      <x:c r="J741" s="58" t="n">
        <x:f>IF(G741="","",ABS(E741-G741))</x:f>
        <x:v>87</x:v>
      </x:c>
      <x:c r="K741" s="58" t="n">
        <x:f>IF(H741="","",ABS(E741-H741))</x:f>
        <x:v>121.5</x:v>
      </x:c>
      <x:c r="L741" s="58" t="n">
        <x:f>IF(I741="","",ABS(E741-I741))</x:f>
        <x:v>17.5</x:v>
      </x:c>
      <x:c r="M741" s="23" t="str">
        <x:f>IF(B741&gt;44,"Validation","Training")</x:f>
        <x:v>Training</x:v>
      </x:c>
      <x:c r="N741" s="61" t="n">
        <x:f>IF(OR(H741="",E741=0),"",K741/E741)</x:f>
        <x:v>0.81</x:v>
      </x:c>
    </x:row>
    <x:row r="742">
      <x:c r="A742" s="28" t="n">
        <x:v>40581</x:v>
      </x:c>
      <x:c r="B742" s="23" t="n">
        <x:v>10</x:v>
      </x:c>
      <x:c r="C742" s="23" t="str">
        <x:v>22720</x:v>
      </x:c>
      <x:c r="D742" s="23" t="str">
        <x:v>SET OF 3 CAKE TINS PANTRY DESIGN</x:v>
      </x:c>
      <x:c r="E742" s="34" t="n">
        <x:v>125</x:v>
      </x:c>
      <x:c r="F742" s="55" t="n">
        <x:v>649.39</x:v>
      </x:c>
      <x:c r="G742" s="58" t="n">
        <x:f>E741</x:f>
        <x:v>150</x:v>
      </x:c>
      <x:c r="H742" s="58" t="n">
        <x:f>AVERAGE(E738:E741)</x:f>
        <x:v>206</x:v>
      </x:c>
      <x:c r="I742" s="58" t="n">
        <x:f>AVERAGE(E734:E741)</x:f>
        <x:v>186.25</x:v>
      </x:c>
      <x:c r="J742" s="58" t="n">
        <x:f>IF(G742="","",ABS(E742-G742))</x:f>
        <x:v>25</x:v>
      </x:c>
      <x:c r="K742" s="58" t="n">
        <x:f>IF(H742="","",ABS(E742-H742))</x:f>
        <x:v>81</x:v>
      </x:c>
      <x:c r="L742" s="58" t="n">
        <x:f>IF(I742="","",ABS(E742-I742))</x:f>
        <x:v>61.25</x:v>
      </x:c>
      <x:c r="M742" s="23" t="str">
        <x:f>IF(B742&gt;44,"Validation","Training")</x:f>
        <x:v>Training</x:v>
      </x:c>
      <x:c r="N742" s="61" t="n">
        <x:f>IF(OR(H742="",E742=0),"",K742/E742)</x:f>
        <x:v>0.648</x:v>
      </x:c>
    </x:row>
    <x:row r="743">
      <x:c r="A743" s="28" t="n">
        <x:v>40588</x:v>
      </x:c>
      <x:c r="B743" s="23" t="n">
        <x:v>11</x:v>
      </x:c>
      <x:c r="C743" s="23" t="str">
        <x:v>22720</x:v>
      </x:c>
      <x:c r="D743" s="23" t="str">
        <x:v>SET OF 3 CAKE TINS PANTRY DESIGN</x:v>
      </x:c>
      <x:c r="E743" s="34" t="n">
        <x:v>282</x:v>
      </x:c>
      <x:c r="F743" s="55" t="n">
        <x:v>1350.94</x:v>
      </x:c>
      <x:c r="G743" s="58" t="n">
        <x:f>E742</x:f>
        <x:v>125</x:v>
      </x:c>
      <x:c r="H743" s="58" t="n">
        <x:f>AVERAGE(E739:E742)</x:f>
        <x:v>175</x:v>
      </x:c>
      <x:c r="I743" s="58" t="n">
        <x:f>AVERAGE(E735:E742)</x:f>
        <x:v>177.625</x:v>
      </x:c>
      <x:c r="J743" s="58" t="n">
        <x:f>IF(G743="","",ABS(E743-G743))</x:f>
        <x:v>157</x:v>
      </x:c>
      <x:c r="K743" s="58" t="n">
        <x:f>IF(H743="","",ABS(E743-H743))</x:f>
        <x:v>107</x:v>
      </x:c>
      <x:c r="L743" s="58" t="n">
        <x:f>IF(I743="","",ABS(E743-I743))</x:f>
        <x:v>104.375</x:v>
      </x:c>
      <x:c r="M743" s="23" t="str">
        <x:f>IF(B743&gt;44,"Validation","Training")</x:f>
        <x:v>Training</x:v>
      </x:c>
      <x:c r="N743" s="61" t="n">
        <x:f>IF(OR(H743="",E743=0),"",K743/E743)</x:f>
        <x:v>0.37943262411347517</x:v>
      </x:c>
    </x:row>
    <x:row r="744">
      <x:c r="A744" s="28" t="n">
        <x:v>40595</x:v>
      </x:c>
      <x:c r="B744" s="23" t="n">
        <x:v>12</x:v>
      </x:c>
      <x:c r="C744" s="23" t="str">
        <x:v>22720</x:v>
      </x:c>
      <x:c r="D744" s="23" t="str">
        <x:v>SET OF 3 CAKE TINS PANTRY DESIGN</x:v>
      </x:c>
      <x:c r="E744" s="34" t="n">
        <x:v>136</x:v>
      </x:c>
      <x:c r="F744" s="55" t="n">
        <x:v>697.28</x:v>
      </x:c>
      <x:c r="G744" s="58" t="n">
        <x:f>E743</x:f>
        <x:v>282</x:v>
      </x:c>
      <x:c r="H744" s="58" t="n">
        <x:f>AVERAGE(E740:E743)</x:f>
        <x:v>198.5</x:v>
      </x:c>
      <x:c r="I744" s="58" t="n">
        <x:f>AVERAGE(E736:E743)</x:f>
        <x:v>205.375</x:v>
      </x:c>
      <x:c r="J744" s="58" t="n">
        <x:f>IF(G744="","",ABS(E744-G744))</x:f>
        <x:v>146</x:v>
      </x:c>
      <x:c r="K744" s="58" t="n">
        <x:f>IF(H744="","",ABS(E744-H744))</x:f>
        <x:v>62.5</x:v>
      </x:c>
      <x:c r="L744" s="58" t="n">
        <x:f>IF(I744="","",ABS(E744-I744))</x:f>
        <x:v>69.375</x:v>
      </x:c>
      <x:c r="M744" s="23" t="str">
        <x:f>IF(B744&gt;44,"Validation","Training")</x:f>
        <x:v>Training</x:v>
      </x:c>
      <x:c r="N744" s="61" t="n">
        <x:f>IF(OR(H744="",E744=0),"",K744/E744)</x:f>
        <x:v>0.45955882352941174</x:v>
      </x:c>
    </x:row>
    <x:row r="745">
      <x:c r="A745" s="28" t="n">
        <x:v>40602</x:v>
      </x:c>
      <x:c r="B745" s="23" t="n">
        <x:v>13</x:v>
      </x:c>
      <x:c r="C745" s="23" t="str">
        <x:v>22720</x:v>
      </x:c>
      <x:c r="D745" s="23" t="str">
        <x:v>SET OF 3 CAKE TINS PANTRY DESIGN</x:v>
      </x:c>
      <x:c r="E745" s="34" t="n">
        <x:v>167</x:v>
      </x:c>
      <x:c r="F745" s="55" t="n">
        <x:v>850.73</x:v>
      </x:c>
      <x:c r="G745" s="58" t="n">
        <x:f>E744</x:f>
        <x:v>136</x:v>
      </x:c>
      <x:c r="H745" s="58" t="n">
        <x:f>AVERAGE(E741:E744)</x:f>
        <x:v>173.25</x:v>
      </x:c>
      <x:c r="I745" s="58" t="n">
        <x:f>AVERAGE(E737:E744)</x:f>
        <x:v>222.375</x:v>
      </x:c>
      <x:c r="J745" s="58" t="n">
        <x:f>IF(G745="","",ABS(E745-G745))</x:f>
        <x:v>31</x:v>
      </x:c>
      <x:c r="K745" s="58" t="n">
        <x:f>IF(H745="","",ABS(E745-H745))</x:f>
        <x:v>6.25</x:v>
      </x:c>
      <x:c r="L745" s="58" t="n">
        <x:f>IF(I745="","",ABS(E745-I745))</x:f>
        <x:v>55.375</x:v>
      </x:c>
      <x:c r="M745" s="23" t="str">
        <x:f>IF(B745&gt;44,"Validation","Training")</x:f>
        <x:v>Training</x:v>
      </x:c>
      <x:c r="N745" s="61" t="n">
        <x:f>IF(OR(H745="",E745=0),"",K745/E745)</x:f>
        <x:v>0.0374251497005988</x:v>
      </x:c>
    </x:row>
    <x:row r="746">
      <x:c r="A746" s="28" t="n">
        <x:v>40609</x:v>
      </x:c>
      <x:c r="B746" s="23" t="n">
        <x:v>14</x:v>
      </x:c>
      <x:c r="C746" s="23" t="str">
        <x:v>22720</x:v>
      </x:c>
      <x:c r="D746" s="23" t="str">
        <x:v>SET OF 3 CAKE TINS PANTRY DESIGN</x:v>
      </x:c>
      <x:c r="E746" s="34" t="n">
        <x:v>169</x:v>
      </x:c>
      <x:c r="F746" s="55" t="n">
        <x:v>878.15</x:v>
      </x:c>
      <x:c r="G746" s="58" t="n">
        <x:f>E745</x:f>
        <x:v>167</x:v>
      </x:c>
      <x:c r="H746" s="58" t="n">
        <x:f>AVERAGE(E742:E745)</x:f>
        <x:v>177.5</x:v>
      </x:c>
      <x:c r="I746" s="58" t="n">
        <x:f>AVERAGE(E738:E745)</x:f>
        <x:v>191.75</x:v>
      </x:c>
      <x:c r="J746" s="58" t="n">
        <x:f>IF(G746="","",ABS(E746-G746))</x:f>
        <x:v>2</x:v>
      </x:c>
      <x:c r="K746" s="58" t="n">
        <x:f>IF(H746="","",ABS(E746-H746))</x:f>
        <x:v>8.5</x:v>
      </x:c>
      <x:c r="L746" s="58" t="n">
        <x:f>IF(I746="","",ABS(E746-I746))</x:f>
        <x:v>22.75</x:v>
      </x:c>
      <x:c r="M746" s="23" t="str">
        <x:f>IF(B746&gt;44,"Validation","Training")</x:f>
        <x:v>Training</x:v>
      </x:c>
      <x:c r="N746" s="61" t="n">
        <x:f>IF(OR(H746="",E746=0),"",K746/E746)</x:f>
        <x:v>0.05029585798816568</x:v>
      </x:c>
    </x:row>
    <x:row r="747">
      <x:c r="A747" s="28" t="n">
        <x:v>40616</x:v>
      </x:c>
      <x:c r="B747" s="23" t="n">
        <x:v>15</x:v>
      </x:c>
      <x:c r="C747" s="23" t="str">
        <x:v>22720</x:v>
      </x:c>
      <x:c r="D747" s="23" t="str">
        <x:v>SET OF 3 CAKE TINS PANTRY DESIGN</x:v>
      </x:c>
      <x:c r="E747" s="34" t="n">
        <x:v>299</x:v>
      </x:c>
      <x:c r="F747" s="55" t="n">
        <x:v>1436.21</x:v>
      </x:c>
      <x:c r="G747" s="58" t="n">
        <x:f>E746</x:f>
        <x:v>169</x:v>
      </x:c>
      <x:c r="H747" s="58" t="n">
        <x:f>AVERAGE(E743:E746)</x:f>
        <x:v>188.5</x:v>
      </x:c>
      <x:c r="I747" s="58" t="n">
        <x:f>AVERAGE(E739:E746)</x:f>
        <x:v>181.75</x:v>
      </x:c>
      <x:c r="J747" s="58" t="n">
        <x:f>IF(G747="","",ABS(E747-G747))</x:f>
        <x:v>130</x:v>
      </x:c>
      <x:c r="K747" s="58" t="n">
        <x:f>IF(H747="","",ABS(E747-H747))</x:f>
        <x:v>110.5</x:v>
      </x:c>
      <x:c r="L747" s="58" t="n">
        <x:f>IF(I747="","",ABS(E747-I747))</x:f>
        <x:v>117.25</x:v>
      </x:c>
      <x:c r="M747" s="23" t="str">
        <x:f>IF(B747&gt;44,"Validation","Training")</x:f>
        <x:v>Training</x:v>
      </x:c>
      <x:c r="N747" s="61" t="n">
        <x:f>IF(OR(H747="",E747=0),"",K747/E747)</x:f>
        <x:v>0.3695652173913043</x:v>
      </x:c>
    </x:row>
    <x:row r="748">
      <x:c r="A748" s="28" t="n">
        <x:v>40623</x:v>
      </x:c>
      <x:c r="B748" s="23" t="n">
        <x:v>16</x:v>
      </x:c>
      <x:c r="C748" s="23" t="str">
        <x:v>22720</x:v>
      </x:c>
      <x:c r="D748" s="23" t="str">
        <x:v>SET OF 3 CAKE TINS PANTRY DESIGN</x:v>
      </x:c>
      <x:c r="E748" s="34" t="n">
        <x:v>122</x:v>
      </x:c>
      <x:c r="F748" s="55" t="n">
        <x:v>598.78</x:v>
      </x:c>
      <x:c r="G748" s="58" t="n">
        <x:f>E747</x:f>
        <x:v>299</x:v>
      </x:c>
      <x:c r="H748" s="58" t="n">
        <x:f>AVERAGE(E744:E747)</x:f>
        <x:v>192.75</x:v>
      </x:c>
      <x:c r="I748" s="58" t="n">
        <x:f>AVERAGE(E740:E747)</x:f>
        <x:v>195.625</x:v>
      </x:c>
      <x:c r="J748" s="58" t="n">
        <x:f>IF(G748="","",ABS(E748-G748))</x:f>
        <x:v>177</x:v>
      </x:c>
      <x:c r="K748" s="58" t="n">
        <x:f>IF(H748="","",ABS(E748-H748))</x:f>
        <x:v>70.75</x:v>
      </x:c>
      <x:c r="L748" s="58" t="n">
        <x:f>IF(I748="","",ABS(E748-I748))</x:f>
        <x:v>73.625</x:v>
      </x:c>
      <x:c r="M748" s="23" t="str">
        <x:f>IF(B748&gt;44,"Validation","Training")</x:f>
        <x:v>Training</x:v>
      </x:c>
      <x:c r="N748" s="61" t="n">
        <x:f>IF(OR(H748="",E748=0),"",K748/E748)</x:f>
        <x:v>0.5799180327868853</x:v>
      </x:c>
    </x:row>
    <x:row r="749">
      <x:c r="A749" s="28" t="n">
        <x:v>40630</x:v>
      </x:c>
      <x:c r="B749" s="23" t="n">
        <x:v>17</x:v>
      </x:c>
      <x:c r="C749" s="23" t="str">
        <x:v>22720</x:v>
      </x:c>
      <x:c r="D749" s="23" t="str">
        <x:v>SET OF 3 CAKE TINS PANTRY DESIGN</x:v>
      </x:c>
      <x:c r="E749" s="34" t="n">
        <x:v>88</x:v>
      </x:c>
      <x:c r="F749" s="55" t="n">
        <x:v>630.64</x:v>
      </x:c>
      <x:c r="G749" s="58" t="n">
        <x:f>E748</x:f>
        <x:v>122</x:v>
      </x:c>
      <x:c r="H749" s="58" t="n">
        <x:f>AVERAGE(E745:E748)</x:f>
        <x:v>189.25</x:v>
      </x:c>
      <x:c r="I749" s="58" t="n">
        <x:f>AVERAGE(E741:E748)</x:f>
        <x:v>181.25</x:v>
      </x:c>
      <x:c r="J749" s="58" t="n">
        <x:f>IF(G749="","",ABS(E749-G749))</x:f>
        <x:v>34</x:v>
      </x:c>
      <x:c r="K749" s="58" t="n">
        <x:f>IF(H749="","",ABS(E749-H749))</x:f>
        <x:v>101.25</x:v>
      </x:c>
      <x:c r="L749" s="58" t="n">
        <x:f>IF(I749="","",ABS(E749-I749))</x:f>
        <x:v>93.25</x:v>
      </x:c>
      <x:c r="M749" s="23" t="str">
        <x:f>IF(B749&gt;44,"Validation","Training")</x:f>
        <x:v>Training</x:v>
      </x:c>
      <x:c r="N749" s="61" t="n">
        <x:f>IF(OR(H749="",E749=0),"",K749/E749)</x:f>
        <x:v>1.1505681818181819</x:v>
      </x:c>
    </x:row>
    <x:row r="750">
      <x:c r="A750" s="28" t="n">
        <x:v>40637</x:v>
      </x:c>
      <x:c r="B750" s="23" t="n">
        <x:v>18</x:v>
      </x:c>
      <x:c r="C750" s="23" t="str">
        <x:v>22720</x:v>
      </x:c>
      <x:c r="D750" s="23" t="str">
        <x:v>SET OF 3 CAKE TINS PANTRY DESIGN</x:v>
      </x:c>
      <x:c r="E750" s="34" t="n">
        <x:v>37</x:v>
      </x:c>
      <x:c r="F750" s="55" t="n">
        <x:v>212.35</x:v>
      </x:c>
      <x:c r="G750" s="58" t="n">
        <x:f>E749</x:f>
        <x:v>88</x:v>
      </x:c>
      <x:c r="H750" s="58" t="n">
        <x:f>AVERAGE(E746:E749)</x:f>
        <x:v>169.5</x:v>
      </x:c>
      <x:c r="I750" s="58" t="n">
        <x:f>AVERAGE(E742:E749)</x:f>
        <x:v>173.5</x:v>
      </x:c>
      <x:c r="J750" s="58" t="n">
        <x:f>IF(G750="","",ABS(E750-G750))</x:f>
        <x:v>51</x:v>
      </x:c>
      <x:c r="K750" s="58" t="n">
        <x:f>IF(H750="","",ABS(E750-H750))</x:f>
        <x:v>132.5</x:v>
      </x:c>
      <x:c r="L750" s="58" t="n">
        <x:f>IF(I750="","",ABS(E750-I750))</x:f>
        <x:v>136.5</x:v>
      </x:c>
      <x:c r="M750" s="23" t="str">
        <x:f>IF(B750&gt;44,"Validation","Training")</x:f>
        <x:v>Training</x:v>
      </x:c>
      <x:c r="N750" s="61" t="n">
        <x:f>IF(OR(H750="",E750=0),"",K750/E750)</x:f>
        <x:v>3.581081081081081</x:v>
      </x:c>
    </x:row>
    <x:row r="751">
      <x:c r="A751" s="28" t="n">
        <x:v>40644</x:v>
      </x:c>
      <x:c r="B751" s="23" t="n">
        <x:v>19</x:v>
      </x:c>
      <x:c r="C751" s="23" t="str">
        <x:v>22720</x:v>
      </x:c>
      <x:c r="D751" s="23" t="str">
        <x:v>SET OF 3 CAKE TINS PANTRY DESIGN</x:v>
      </x:c>
      <x:c r="E751" s="34" t="n">
        <x:v>7</x:v>
      </x:c>
      <x:c r="F751" s="55" t="n">
        <x:v>52.17</x:v>
      </x:c>
      <x:c r="G751" s="58" t="n">
        <x:f>E750</x:f>
        <x:v>37</x:v>
      </x:c>
      <x:c r="H751" s="58" t="n">
        <x:f>AVERAGE(E747:E750)</x:f>
        <x:v>136.5</x:v>
      </x:c>
      <x:c r="I751" s="58" t="n">
        <x:f>AVERAGE(E743:E750)</x:f>
        <x:v>162.5</x:v>
      </x:c>
      <x:c r="J751" s="58" t="n">
        <x:f>IF(G751="","",ABS(E751-G751))</x:f>
        <x:v>30</x:v>
      </x:c>
      <x:c r="K751" s="58" t="n">
        <x:f>IF(H751="","",ABS(E751-H751))</x:f>
        <x:v>129.5</x:v>
      </x:c>
      <x:c r="L751" s="58" t="n">
        <x:f>IF(I751="","",ABS(E751-I751))</x:f>
        <x:v>155.5</x:v>
      </x:c>
      <x:c r="M751" s="23" t="str">
        <x:f>IF(B751&gt;44,"Validation","Training")</x:f>
        <x:v>Training</x:v>
      </x:c>
      <x:c r="N751" s="61" t="n">
        <x:f>IF(OR(H751="",E751=0),"",K751/E751)</x:f>
        <x:v>18.5</x:v>
      </x:c>
    </x:row>
    <x:row r="752">
      <x:c r="A752" s="28" t="n">
        <x:v>40651</x:v>
      </x:c>
      <x:c r="B752" s="23" t="n">
        <x:v>20</x:v>
      </x:c>
      <x:c r="C752" s="23" t="str">
        <x:v>22720</x:v>
      </x:c>
      <x:c r="D752" s="23" t="str">
        <x:v>SET OF 3 CAKE TINS PANTRY DESIGN</x:v>
      </x:c>
      <x:c r="E752" s="34" t="n">
        <x:v>9</x:v>
      </x:c>
      <x:c r="F752" s="55" t="n">
        <x:v>62.07</x:v>
      </x:c>
      <x:c r="G752" s="58" t="n">
        <x:f>E751</x:f>
        <x:v>7</x:v>
      </x:c>
      <x:c r="H752" s="58" t="n">
        <x:f>AVERAGE(E748:E751)</x:f>
        <x:v>63.5</x:v>
      </x:c>
      <x:c r="I752" s="58" t="n">
        <x:f>AVERAGE(E744:E751)</x:f>
        <x:v>128.125</x:v>
      </x:c>
      <x:c r="J752" s="58" t="n">
        <x:f>IF(G752="","",ABS(E752-G752))</x:f>
        <x:v>2</x:v>
      </x:c>
      <x:c r="K752" s="58" t="n">
        <x:f>IF(H752="","",ABS(E752-H752))</x:f>
        <x:v>54.5</x:v>
      </x:c>
      <x:c r="L752" s="58" t="n">
        <x:f>IF(I752="","",ABS(E752-I752))</x:f>
        <x:v>119.125</x:v>
      </x:c>
      <x:c r="M752" s="23" t="str">
        <x:f>IF(B752&gt;44,"Validation","Training")</x:f>
        <x:v>Training</x:v>
      </x:c>
      <x:c r="N752" s="61" t="n">
        <x:f>IF(OR(H752="",E752=0),"",K752/E752)</x:f>
        <x:v>6.055555555555555</x:v>
      </x:c>
    </x:row>
    <x:row r="753">
      <x:c r="A753" s="28" t="n">
        <x:v>40658</x:v>
      </x:c>
      <x:c r="B753" s="23" t="n">
        <x:v>21</x:v>
      </x:c>
      <x:c r="C753" s="23" t="str">
        <x:v>22720</x:v>
      </x:c>
      <x:c r="D753" s="23" t="str">
        <x:v>SET OF 3 CAKE TINS PANTRY DESIGN</x:v>
      </x:c>
      <x:c r="E753" s="34" t="n">
        <x:v>2</x:v>
      </x:c>
      <x:c r="F753" s="55" t="n">
        <x:v>21.58</x:v>
      </x:c>
      <x:c r="G753" s="58" t="n">
        <x:f>E752</x:f>
        <x:v>9</x:v>
      </x:c>
      <x:c r="H753" s="58" t="n">
        <x:f>AVERAGE(E749:E752)</x:f>
        <x:v>35.25</x:v>
      </x:c>
      <x:c r="I753" s="58" t="n">
        <x:f>AVERAGE(E745:E752)</x:f>
        <x:v>112.25</x:v>
      </x:c>
      <x:c r="J753" s="58" t="n">
        <x:f>IF(G753="","",ABS(E753-G753))</x:f>
        <x:v>7</x:v>
      </x:c>
      <x:c r="K753" s="58" t="n">
        <x:f>IF(H753="","",ABS(E753-H753))</x:f>
        <x:v>33.25</x:v>
      </x:c>
      <x:c r="L753" s="58" t="n">
        <x:f>IF(I753="","",ABS(E753-I753))</x:f>
        <x:v>110.25</x:v>
      </x:c>
      <x:c r="M753" s="23" t="str">
        <x:f>IF(B753&gt;44,"Validation","Training")</x:f>
        <x:v>Training</x:v>
      </x:c>
      <x:c r="N753" s="61" t="n">
        <x:f>IF(OR(H753="",E753=0),"",K753/E753)</x:f>
        <x:v>16.625</x:v>
      </x:c>
    </x:row>
    <x:row r="754">
      <x:c r="A754" s="28" t="n">
        <x:v>40665</x:v>
      </x:c>
      <x:c r="B754" s="23" t="n">
        <x:v>22</x:v>
      </x:c>
      <x:c r="C754" s="23" t="str">
        <x:v>22720</x:v>
      </x:c>
      <x:c r="D754" s="23" t="str">
        <x:v>SET OF 3 CAKE TINS PANTRY DESIGN</x:v>
      </x:c>
      <x:c r="E754" s="34" t="n">
        <x:v>3</x:v>
      </x:c>
      <x:c r="F754" s="55" t="n">
        <x:v>14.85</x:v>
      </x:c>
      <x:c r="G754" s="58" t="n">
        <x:f>E753</x:f>
        <x:v>2</x:v>
      </x:c>
      <x:c r="H754" s="58" t="n">
        <x:f>AVERAGE(E750:E753)</x:f>
        <x:v>13.75</x:v>
      </x:c>
      <x:c r="I754" s="58" t="n">
        <x:f>AVERAGE(E746:E753)</x:f>
        <x:v>91.625</x:v>
      </x:c>
      <x:c r="J754" s="58" t="n">
        <x:f>IF(G754="","",ABS(E754-G754))</x:f>
        <x:v>1</x:v>
      </x:c>
      <x:c r="K754" s="58" t="n">
        <x:f>IF(H754="","",ABS(E754-H754))</x:f>
        <x:v>10.75</x:v>
      </x:c>
      <x:c r="L754" s="58" t="n">
        <x:f>IF(I754="","",ABS(E754-I754))</x:f>
        <x:v>88.625</x:v>
      </x:c>
      <x:c r="M754" s="23" t="str">
        <x:f>IF(B754&gt;44,"Validation","Training")</x:f>
        <x:v>Training</x:v>
      </x:c>
      <x:c r="N754" s="61" t="n">
        <x:f>IF(OR(H754="",E754=0),"",K754/E754)</x:f>
        <x:v>3.5833333333333335</x:v>
      </x:c>
    </x:row>
    <x:row r="755">
      <x:c r="A755" s="28" t="n">
        <x:v>40672</x:v>
      </x:c>
      <x:c r="B755" s="23" t="n">
        <x:v>23</x:v>
      </x:c>
      <x:c r="C755" s="23" t="str">
        <x:v>22720</x:v>
      </x:c>
      <x:c r="D755" s="23" t="str">
        <x:v>SET OF 3 CAKE TINS PANTRY DESIGN</x:v>
      </x:c>
      <x:c r="E755" s="34" t="n">
        <x:v>8</x:v>
      </x:c>
      <x:c r="F755" s="55" t="n">
        <x:v>45.44</x:v>
      </x:c>
      <x:c r="G755" s="58" t="n">
        <x:f>E754</x:f>
        <x:v>3</x:v>
      </x:c>
      <x:c r="H755" s="58" t="n">
        <x:f>AVERAGE(E751:E754)</x:f>
        <x:v>5.25</x:v>
      </x:c>
      <x:c r="I755" s="58" t="n">
        <x:f>AVERAGE(E747:E754)</x:f>
        <x:v>70.875</x:v>
      </x:c>
      <x:c r="J755" s="58" t="n">
        <x:f>IF(G755="","",ABS(E755-G755))</x:f>
        <x:v>5</x:v>
      </x:c>
      <x:c r="K755" s="58" t="n">
        <x:f>IF(H755="","",ABS(E755-H755))</x:f>
        <x:v>2.75</x:v>
      </x:c>
      <x:c r="L755" s="58" t="n">
        <x:f>IF(I755="","",ABS(E755-I755))</x:f>
        <x:v>62.875</x:v>
      </x:c>
      <x:c r="M755" s="23" t="str">
        <x:f>IF(B755&gt;44,"Validation","Training")</x:f>
        <x:v>Training</x:v>
      </x:c>
      <x:c r="N755" s="61" t="n">
        <x:f>IF(OR(H755="",E755=0),"",K755/E755)</x:f>
        <x:v>0.34375</x:v>
      </x:c>
    </x:row>
    <x:row r="756">
      <x:c r="A756" s="28" t="n">
        <x:v>40679</x:v>
      </x:c>
      <x:c r="B756" s="23" t="n">
        <x:v>24</x:v>
      </x:c>
      <x:c r="C756" s="23" t="str">
        <x:v>22720</x:v>
      </x:c>
      <x:c r="D756" s="23" t="str">
        <x:v>SET OF 3 CAKE TINS PANTRY DESIGN</x:v>
      </x:c>
      <x:c r="E756" s="34" t="n">
        <x:v>3</x:v>
      </x:c>
      <x:c r="F756" s="55" t="n">
        <x:v>14.85</x:v>
      </x:c>
      <x:c r="G756" s="58" t="n">
        <x:f>E755</x:f>
        <x:v>8</x:v>
      </x:c>
      <x:c r="H756" s="58" t="n">
        <x:f>AVERAGE(E752:E755)</x:f>
        <x:v>5.5</x:v>
      </x:c>
      <x:c r="I756" s="58" t="n">
        <x:f>AVERAGE(E748:E755)</x:f>
        <x:v>34.5</x:v>
      </x:c>
      <x:c r="J756" s="58" t="n">
        <x:f>IF(G756="","",ABS(E756-G756))</x:f>
        <x:v>5</x:v>
      </x:c>
      <x:c r="K756" s="58" t="n">
        <x:f>IF(H756="","",ABS(E756-H756))</x:f>
        <x:v>2.5</x:v>
      </x:c>
      <x:c r="L756" s="58" t="n">
        <x:f>IF(I756="","",ABS(E756-I756))</x:f>
        <x:v>31.5</x:v>
      </x:c>
      <x:c r="M756" s="23" t="str">
        <x:f>IF(B756&gt;44,"Validation","Training")</x:f>
        <x:v>Training</x:v>
      </x:c>
      <x:c r="N756" s="61" t="n">
        <x:f>IF(OR(H756="",E756=0),"",K756/E756)</x:f>
        <x:v>0.8333333333333334</x:v>
      </x:c>
    </x:row>
    <x:row r="757">
      <x:c r="A757" s="28" t="n">
        <x:v>40686</x:v>
      </x:c>
      <x:c r="B757" s="23" t="n">
        <x:v>25</x:v>
      </x:c>
      <x:c r="C757" s="23" t="str">
        <x:v>22720</x:v>
      </x:c>
      <x:c r="D757" s="23" t="str">
        <x:v>SET OF 3 CAKE TINS PANTRY DESIGN</x:v>
      </x:c>
      <x:c r="E757" s="34" t="n">
        <x:v>0</x:v>
      </x:c>
      <x:c r="F757" s="55" t="n">
        <x:v>0</x:v>
      </x:c>
      <x:c r="G757" s="58" t="n">
        <x:f>E756</x:f>
        <x:v>3</x:v>
      </x:c>
      <x:c r="H757" s="58" t="n">
        <x:f>AVERAGE(E753:E756)</x:f>
        <x:v>4</x:v>
      </x:c>
      <x:c r="I757" s="58" t="n">
        <x:f>AVERAGE(E749:E756)</x:f>
        <x:v>19.625</x:v>
      </x:c>
      <x:c r="J757" s="58" t="n">
        <x:f>IF(G757="","",ABS(E757-G757))</x:f>
        <x:v>3</x:v>
      </x:c>
      <x:c r="K757" s="58" t="n">
        <x:f>IF(H757="","",ABS(E757-H757))</x:f>
        <x:v>4</x:v>
      </x:c>
      <x:c r="L757" s="58" t="n">
        <x:f>IF(I757="","",ABS(E757-I757))</x:f>
        <x:v>19.625</x:v>
      </x:c>
      <x:c r="M757" s="23" t="str">
        <x:f>IF(B757&gt;44,"Validation","Training")</x:f>
        <x:v>Training</x:v>
      </x:c>
      <x:c r="N757" s="61" t="str">
        <x:f>IF(OR(H757="",E757=0),"",K757/E757)</x:f>
      </x:c>
    </x:row>
    <x:row r="758">
      <x:c r="A758" s="28" t="n">
        <x:v>40693</x:v>
      </x:c>
      <x:c r="B758" s="23" t="n">
        <x:v>26</x:v>
      </x:c>
      <x:c r="C758" s="23" t="str">
        <x:v>22720</x:v>
      </x:c>
      <x:c r="D758" s="23" t="str">
        <x:v>SET OF 3 CAKE TINS PANTRY DESIGN</x:v>
      </x:c>
      <x:c r="E758" s="34" t="n">
        <x:v>3</x:v>
      </x:c>
      <x:c r="F758" s="55" t="n">
        <x:v>32.37</x:v>
      </x:c>
      <x:c r="G758" s="58" t="n">
        <x:f>E757</x:f>
        <x:v>0</x:v>
      </x:c>
      <x:c r="H758" s="58" t="n">
        <x:f>AVERAGE(E754:E757)</x:f>
        <x:v>3.5</x:v>
      </x:c>
      <x:c r="I758" s="58" t="n">
        <x:f>AVERAGE(E750:E757)</x:f>
        <x:v>8.625</x:v>
      </x:c>
      <x:c r="J758" s="58" t="str">
        <x:f>IF(G758="","",ABS(E758-G758))</x:f>
      </x:c>
      <x:c r="K758" s="58" t="n">
        <x:f>IF(H758="","",ABS(E758-H758))</x:f>
        <x:v>0.5</x:v>
      </x:c>
      <x:c r="L758" s="58" t="n">
        <x:f>IF(I758="","",ABS(E758-I758))</x:f>
        <x:v>5.625</x:v>
      </x:c>
      <x:c r="M758" s="23" t="str">
        <x:f>IF(B758&gt;44,"Validation","Training")</x:f>
        <x:v>Training</x:v>
      </x:c>
      <x:c r="N758" s="61" t="n">
        <x:f>IF(OR(H758="",E758=0),"",K758/E758)</x:f>
        <x:v>0.16666666666666666</x:v>
      </x:c>
    </x:row>
    <x:row r="759">
      <x:c r="A759" s="28" t="n">
        <x:v>40700</x:v>
      </x:c>
      <x:c r="B759" s="23" t="n">
        <x:v>27</x:v>
      </x:c>
      <x:c r="C759" s="23" t="str">
        <x:v>22720</x:v>
      </x:c>
      <x:c r="D759" s="23" t="str">
        <x:v>SET OF 3 CAKE TINS PANTRY DESIGN</x:v>
      </x:c>
      <x:c r="E759" s="34" t="n">
        <x:v>142</x:v>
      </x:c>
      <x:c r="F759" s="55" t="n">
        <x:v>669.3</x:v>
      </x:c>
      <x:c r="G759" s="58" t="n">
        <x:f>E758</x:f>
        <x:v>3</x:v>
      </x:c>
      <x:c r="H759" s="58" t="n">
        <x:f>AVERAGE(E755:E758)</x:f>
        <x:v>3.5</x:v>
      </x:c>
      <x:c r="I759" s="58" t="n">
        <x:f>AVERAGE(E751:E758)</x:f>
        <x:v>4.375</x:v>
      </x:c>
      <x:c r="J759" s="58" t="n">
        <x:f>IF(G759="","",ABS(E759-G759))</x:f>
        <x:v>139</x:v>
      </x:c>
      <x:c r="K759" s="58" t="n">
        <x:f>IF(H759="","",ABS(E759-H759))</x:f>
        <x:v>138.5</x:v>
      </x:c>
      <x:c r="L759" s="58" t="n">
        <x:f>IF(I759="","",ABS(E759-I759))</x:f>
        <x:v>137.625</x:v>
      </x:c>
      <x:c r="M759" s="23" t="str">
        <x:f>IF(B759&gt;44,"Validation","Training")</x:f>
        <x:v>Training</x:v>
      </x:c>
      <x:c r="N759" s="61" t="n">
        <x:f>IF(OR(H759="",E759=0),"",K759/E759)</x:f>
        <x:v>0.9753521126760564</x:v>
      </x:c>
    </x:row>
    <x:row r="760">
      <x:c r="A760" s="28" t="n">
        <x:v>40707</x:v>
      </x:c>
      <x:c r="B760" s="23" t="n">
        <x:v>28</x:v>
      </x:c>
      <x:c r="C760" s="23" t="str">
        <x:v>22720</x:v>
      </x:c>
      <x:c r="D760" s="23" t="str">
        <x:v>SET OF 3 CAKE TINS PANTRY DESIGN</x:v>
      </x:c>
      <x:c r="E760" s="34" t="n">
        <x:v>421</x:v>
      </x:c>
      <x:c r="F760" s="55" t="n">
        <x:v>1874.91</x:v>
      </x:c>
      <x:c r="G760" s="58" t="n">
        <x:f>E759</x:f>
        <x:v>142</x:v>
      </x:c>
      <x:c r="H760" s="58" t="n">
        <x:f>AVERAGE(E756:E759)</x:f>
        <x:v>37</x:v>
      </x:c>
      <x:c r="I760" s="58" t="n">
        <x:f>AVERAGE(E752:E759)</x:f>
        <x:v>21.25</x:v>
      </x:c>
      <x:c r="J760" s="58" t="n">
        <x:f>IF(G760="","",ABS(E760-G760))</x:f>
        <x:v>279</x:v>
      </x:c>
      <x:c r="K760" s="58" t="n">
        <x:f>IF(H760="","",ABS(E760-H760))</x:f>
        <x:v>384</x:v>
      </x:c>
      <x:c r="L760" s="58" t="n">
        <x:f>IF(I760="","",ABS(E760-I760))</x:f>
        <x:v>399.75</x:v>
      </x:c>
      <x:c r="M760" s="23" t="str">
        <x:f>IF(B760&gt;44,"Validation","Training")</x:f>
        <x:v>Training</x:v>
      </x:c>
      <x:c r="N760" s="61" t="n">
        <x:f>IF(OR(H760="",E760=0),"",K760/E760)</x:f>
        <x:v>0.9121140142517815</x:v>
      </x:c>
    </x:row>
    <x:row r="761">
      <x:c r="A761" s="28" t="n">
        <x:v>40714</x:v>
      </x:c>
      <x:c r="B761" s="23" t="n">
        <x:v>29</x:v>
      </x:c>
      <x:c r="C761" s="23" t="str">
        <x:v>22720</x:v>
      </x:c>
      <x:c r="D761" s="23" t="str">
        <x:v>SET OF 3 CAKE TINS PANTRY DESIGN</x:v>
      </x:c>
      <x:c r="E761" s="34" t="n">
        <x:v>141</x:v>
      </x:c>
      <x:c r="F761" s="55" t="n">
        <x:v>670.67</x:v>
      </x:c>
      <x:c r="G761" s="58" t="n">
        <x:f>E760</x:f>
        <x:v>421</x:v>
      </x:c>
      <x:c r="H761" s="58" t="n">
        <x:f>AVERAGE(E757:E760)</x:f>
        <x:v>141.5</x:v>
      </x:c>
      <x:c r="I761" s="58" t="n">
        <x:f>AVERAGE(E753:E760)</x:f>
        <x:v>72.75</x:v>
      </x:c>
      <x:c r="J761" s="58" t="n">
        <x:f>IF(G761="","",ABS(E761-G761))</x:f>
        <x:v>280</x:v>
      </x:c>
      <x:c r="K761" s="58" t="n">
        <x:f>IF(H761="","",ABS(E761-H761))</x:f>
        <x:v>0.5</x:v>
      </x:c>
      <x:c r="L761" s="58" t="n">
        <x:f>IF(I761="","",ABS(E761-I761))</x:f>
        <x:v>68.25</x:v>
      </x:c>
      <x:c r="M761" s="23" t="str">
        <x:f>IF(B761&gt;44,"Validation","Training")</x:f>
        <x:v>Training</x:v>
      </x:c>
      <x:c r="N761" s="61" t="n">
        <x:f>IF(OR(H761="",E761=0),"",K761/E761)</x:f>
        <x:v>0.0035460992907801418</x:v>
      </x:c>
    </x:row>
    <x:row r="762">
      <x:c r="A762" s="28" t="n">
        <x:v>40721</x:v>
      </x:c>
      <x:c r="B762" s="23" t="n">
        <x:v>30</x:v>
      </x:c>
      <x:c r="C762" s="23" t="str">
        <x:v>22720</x:v>
      </x:c>
      <x:c r="D762" s="23" t="str">
        <x:v>SET OF 3 CAKE TINS PANTRY DESIGN</x:v>
      </x:c>
      <x:c r="E762" s="34" t="n">
        <x:v>126</x:v>
      </x:c>
      <x:c r="F762" s="55" t="n">
        <x:v>573.54</x:v>
      </x:c>
      <x:c r="G762" s="58" t="n">
        <x:f>E761</x:f>
        <x:v>141</x:v>
      </x:c>
      <x:c r="H762" s="58" t="n">
        <x:f>AVERAGE(E758:E761)</x:f>
        <x:v>176.75</x:v>
      </x:c>
      <x:c r="I762" s="58" t="n">
        <x:f>AVERAGE(E754:E761)</x:f>
        <x:v>90.125</x:v>
      </x:c>
      <x:c r="J762" s="58" t="n">
        <x:f>IF(G762="","",ABS(E762-G762))</x:f>
        <x:v>15</x:v>
      </x:c>
      <x:c r="K762" s="58" t="n">
        <x:f>IF(H762="","",ABS(E762-H762))</x:f>
        <x:v>50.75</x:v>
      </x:c>
      <x:c r="L762" s="58" t="n">
        <x:f>IF(I762="","",ABS(E762-I762))</x:f>
        <x:v>35.875</x:v>
      </x:c>
      <x:c r="M762" s="23" t="str">
        <x:f>IF(B762&gt;44,"Validation","Training")</x:f>
        <x:v>Training</x:v>
      </x:c>
      <x:c r="N762" s="61" t="n">
        <x:f>IF(OR(H762="",E762=0),"",K762/E762)</x:f>
        <x:v>0.4027777777777778</x:v>
      </x:c>
    </x:row>
    <x:row r="763">
      <x:c r="A763" s="28" t="n">
        <x:v>40728</x:v>
      </x:c>
      <x:c r="B763" s="23" t="n">
        <x:v>31</x:v>
      </x:c>
      <x:c r="C763" s="23" t="str">
        <x:v>22720</x:v>
      </x:c>
      <x:c r="D763" s="23" t="str">
        <x:v>SET OF 3 CAKE TINS PANTRY DESIGN</x:v>
      </x:c>
      <x:c r="E763" s="34" t="n">
        <x:v>170</x:v>
      </x:c>
      <x:c r="F763" s="55" t="n">
        <x:v>865.58</x:v>
      </x:c>
      <x:c r="G763" s="58" t="n">
        <x:f>E762</x:f>
        <x:v>126</x:v>
      </x:c>
      <x:c r="H763" s="58" t="n">
        <x:f>AVERAGE(E759:E762)</x:f>
        <x:v>207.5</x:v>
      </x:c>
      <x:c r="I763" s="58" t="n">
        <x:f>AVERAGE(E755:E762)</x:f>
        <x:v>105.5</x:v>
      </x:c>
      <x:c r="J763" s="58" t="n">
        <x:f>IF(G763="","",ABS(E763-G763))</x:f>
        <x:v>44</x:v>
      </x:c>
      <x:c r="K763" s="58" t="n">
        <x:f>IF(H763="","",ABS(E763-H763))</x:f>
        <x:v>37.5</x:v>
      </x:c>
      <x:c r="L763" s="58" t="n">
        <x:f>IF(I763="","",ABS(E763-I763))</x:f>
        <x:v>64.5</x:v>
      </x:c>
      <x:c r="M763" s="23" t="str">
        <x:f>IF(B763&gt;44,"Validation","Training")</x:f>
        <x:v>Training</x:v>
      </x:c>
      <x:c r="N763" s="61" t="n">
        <x:f>IF(OR(H763="",E763=0),"",K763/E763)</x:f>
        <x:v>0.22058823529411764</x:v>
      </x:c>
    </x:row>
    <x:row r="764">
      <x:c r="A764" s="28" t="n">
        <x:v>40735</x:v>
      </x:c>
      <x:c r="B764" s="23" t="n">
        <x:v>32</x:v>
      </x:c>
      <x:c r="C764" s="23" t="str">
        <x:v>22720</x:v>
      </x:c>
      <x:c r="D764" s="23" t="str">
        <x:v>SET OF 3 CAKE TINS PANTRY DESIGN</x:v>
      </x:c>
      <x:c r="E764" s="34" t="n">
        <x:v>99</x:v>
      </x:c>
      <x:c r="F764" s="55" t="n">
        <x:v>501.73</x:v>
      </x:c>
      <x:c r="G764" s="58" t="n">
        <x:f>E763</x:f>
        <x:v>170</x:v>
      </x:c>
      <x:c r="H764" s="58" t="n">
        <x:f>AVERAGE(E760:E763)</x:f>
        <x:v>214.5</x:v>
      </x:c>
      <x:c r="I764" s="58" t="n">
        <x:f>AVERAGE(E756:E763)</x:f>
        <x:v>125.75</x:v>
      </x:c>
      <x:c r="J764" s="58" t="n">
        <x:f>IF(G764="","",ABS(E764-G764))</x:f>
        <x:v>71</x:v>
      </x:c>
      <x:c r="K764" s="58" t="n">
        <x:f>IF(H764="","",ABS(E764-H764))</x:f>
        <x:v>115.5</x:v>
      </x:c>
      <x:c r="L764" s="58" t="n">
        <x:f>IF(I764="","",ABS(E764-I764))</x:f>
        <x:v>26.75</x:v>
      </x:c>
      <x:c r="M764" s="23" t="str">
        <x:f>IF(B764&gt;44,"Validation","Training")</x:f>
        <x:v>Training</x:v>
      </x:c>
      <x:c r="N764" s="61" t="n">
        <x:f>IF(OR(H764="",E764=0),"",K764/E764)</x:f>
        <x:v>1.1666666666666667</x:v>
      </x:c>
    </x:row>
    <x:row r="765">
      <x:c r="A765" s="28" t="n">
        <x:v>40742</x:v>
      </x:c>
      <x:c r="B765" s="23" t="n">
        <x:v>33</x:v>
      </x:c>
      <x:c r="C765" s="23" t="str">
        <x:v>22720</x:v>
      </x:c>
      <x:c r="D765" s="23" t="str">
        <x:v>SET OF 3 CAKE TINS PANTRY DESIGN</x:v>
      </x:c>
      <x:c r="E765" s="34" t="n">
        <x:v>104</x:v>
      </x:c>
      <x:c r="F765" s="55" t="n">
        <x:v>526.48</x:v>
      </x:c>
      <x:c r="G765" s="58" t="n">
        <x:f>E764</x:f>
        <x:v>99</x:v>
      </x:c>
      <x:c r="H765" s="58" t="n">
        <x:f>AVERAGE(E761:E764)</x:f>
        <x:v>134</x:v>
      </x:c>
      <x:c r="I765" s="58" t="n">
        <x:f>AVERAGE(E757:E764)</x:f>
        <x:v>137.75</x:v>
      </x:c>
      <x:c r="J765" s="58" t="n">
        <x:f>IF(G765="","",ABS(E765-G765))</x:f>
        <x:v>5</x:v>
      </x:c>
      <x:c r="K765" s="58" t="n">
        <x:f>IF(H765="","",ABS(E765-H765))</x:f>
        <x:v>30</x:v>
      </x:c>
      <x:c r="L765" s="58" t="n">
        <x:f>IF(I765="","",ABS(E765-I765))</x:f>
        <x:v>33.75</x:v>
      </x:c>
      <x:c r="M765" s="23" t="str">
        <x:f>IF(B765&gt;44,"Validation","Training")</x:f>
        <x:v>Training</x:v>
      </x:c>
      <x:c r="N765" s="61" t="n">
        <x:f>IF(OR(H765="",E765=0),"",K765/E765)</x:f>
        <x:v>0.28846153846153844</x:v>
      </x:c>
    </x:row>
    <x:row r="766">
      <x:c r="A766" s="28" t="n">
        <x:v>40749</x:v>
      </x:c>
      <x:c r="B766" s="23" t="n">
        <x:v>34</x:v>
      </x:c>
      <x:c r="C766" s="23" t="str">
        <x:v>22720</x:v>
      </x:c>
      <x:c r="D766" s="23" t="str">
        <x:v>SET OF 3 CAKE TINS PANTRY DESIGN</x:v>
      </x:c>
      <x:c r="E766" s="34" t="n">
        <x:v>125</x:v>
      </x:c>
      <x:c r="F766" s="55" t="n">
        <x:v>608.03</x:v>
      </x:c>
      <x:c r="G766" s="58" t="n">
        <x:f>E765</x:f>
        <x:v>104</x:v>
      </x:c>
      <x:c r="H766" s="58" t="n">
        <x:f>AVERAGE(E762:E765)</x:f>
        <x:v>124.75</x:v>
      </x:c>
      <x:c r="I766" s="58" t="n">
        <x:f>AVERAGE(E758:E765)</x:f>
        <x:v>150.75</x:v>
      </x:c>
      <x:c r="J766" s="58" t="n">
        <x:f>IF(G766="","",ABS(E766-G766))</x:f>
        <x:v>21</x:v>
      </x:c>
      <x:c r="K766" s="58" t="n">
        <x:f>IF(H766="","",ABS(E766-H766))</x:f>
        <x:v>0.25</x:v>
      </x:c>
      <x:c r="L766" s="58" t="n">
        <x:f>IF(I766="","",ABS(E766-I766))</x:f>
        <x:v>25.75</x:v>
      </x:c>
      <x:c r="M766" s="23" t="str">
        <x:f>IF(B766&gt;44,"Validation","Training")</x:f>
        <x:v>Training</x:v>
      </x:c>
      <x:c r="N766" s="61" t="n">
        <x:f>IF(OR(H766="",E766=0),"",K766/E766)</x:f>
        <x:v>0.002</x:v>
      </x:c>
    </x:row>
    <x:row r="767">
      <x:c r="A767" s="28" t="n">
        <x:v>40756</x:v>
      </x:c>
      <x:c r="B767" s="23" t="n">
        <x:v>35</x:v>
      </x:c>
      <x:c r="C767" s="23" t="str">
        <x:v>22720</x:v>
      </x:c>
      <x:c r="D767" s="23" t="str">
        <x:v>SET OF 3 CAKE TINS PANTRY DESIGN</x:v>
      </x:c>
      <x:c r="E767" s="34" t="n">
        <x:v>126</x:v>
      </x:c>
      <x:c r="F767" s="55" t="n">
        <x:v>625.62</x:v>
      </x:c>
      <x:c r="G767" s="58" t="n">
        <x:f>E766</x:f>
        <x:v>125</x:v>
      </x:c>
      <x:c r="H767" s="58" t="n">
        <x:f>AVERAGE(E763:E766)</x:f>
        <x:v>124.5</x:v>
      </x:c>
      <x:c r="I767" s="58" t="n">
        <x:f>AVERAGE(E759:E766)</x:f>
        <x:v>166</x:v>
      </x:c>
      <x:c r="J767" s="58" t="n">
        <x:f>IF(G767="","",ABS(E767-G767))</x:f>
        <x:v>1</x:v>
      </x:c>
      <x:c r="K767" s="58" t="n">
        <x:f>IF(H767="","",ABS(E767-H767))</x:f>
        <x:v>1.5</x:v>
      </x:c>
      <x:c r="L767" s="58" t="n">
        <x:f>IF(I767="","",ABS(E767-I767))</x:f>
        <x:v>40</x:v>
      </x:c>
      <x:c r="M767" s="23" t="str">
        <x:f>IF(B767&gt;44,"Validation","Training")</x:f>
        <x:v>Training</x:v>
      </x:c>
      <x:c r="N767" s="61" t="n">
        <x:f>IF(OR(H767="",E767=0),"",K767/E767)</x:f>
        <x:v>0.011904761904761904</x:v>
      </x:c>
    </x:row>
    <x:row r="768">
      <x:c r="A768" s="28" t="n">
        <x:v>40763</x:v>
      </x:c>
      <x:c r="B768" s="23" t="n">
        <x:v>36</x:v>
      </x:c>
      <x:c r="C768" s="23" t="str">
        <x:v>22720</x:v>
      </x:c>
      <x:c r="D768" s="23" t="str">
        <x:v>SET OF 3 CAKE TINS PANTRY DESIGN</x:v>
      </x:c>
      <x:c r="E768" s="34" t="n">
        <x:v>108</x:v>
      </x:c>
      <x:c r="F768" s="55" t="n">
        <x:v>553.08</x:v>
      </x:c>
      <x:c r="G768" s="58" t="n">
        <x:f>E767</x:f>
        <x:v>126</x:v>
      </x:c>
      <x:c r="H768" s="58" t="n">
        <x:f>AVERAGE(E764:E767)</x:f>
        <x:v>113.5</x:v>
      </x:c>
      <x:c r="I768" s="58" t="n">
        <x:f>AVERAGE(E760:E767)</x:f>
        <x:v>164</x:v>
      </x:c>
      <x:c r="J768" s="58" t="n">
        <x:f>IF(G768="","",ABS(E768-G768))</x:f>
        <x:v>18</x:v>
      </x:c>
      <x:c r="K768" s="58" t="n">
        <x:f>IF(H768="","",ABS(E768-H768))</x:f>
        <x:v>5.5</x:v>
      </x:c>
      <x:c r="L768" s="58" t="n">
        <x:f>IF(I768="","",ABS(E768-I768))</x:f>
        <x:v>56</x:v>
      </x:c>
      <x:c r="M768" s="23" t="str">
        <x:f>IF(B768&gt;44,"Validation","Training")</x:f>
        <x:v>Training</x:v>
      </x:c>
      <x:c r="N768" s="61" t="n">
        <x:f>IF(OR(H768="",E768=0),"",K768/E768)</x:f>
        <x:v>0.05092592592592592</x:v>
      </x:c>
    </x:row>
    <x:row r="769">
      <x:c r="A769" s="28" t="n">
        <x:v>40770</x:v>
      </x:c>
      <x:c r="B769" s="23" t="n">
        <x:v>37</x:v>
      </x:c>
      <x:c r="C769" s="23" t="str">
        <x:v>22720</x:v>
      </x:c>
      <x:c r="D769" s="23" t="str">
        <x:v>SET OF 3 CAKE TINS PANTRY DESIGN</x:v>
      </x:c>
      <x:c r="E769" s="34" t="n">
        <x:v>288</x:v>
      </x:c>
      <x:c r="F769" s="55" t="n">
        <x:v>1406.4</x:v>
      </x:c>
      <x:c r="G769" s="58" t="n">
        <x:f>E768</x:f>
        <x:v>108</x:v>
      </x:c>
      <x:c r="H769" s="58" t="n">
        <x:f>AVERAGE(E765:E768)</x:f>
        <x:v>115.75</x:v>
      </x:c>
      <x:c r="I769" s="58" t="n">
        <x:f>AVERAGE(E761:E768)</x:f>
        <x:v>124.875</x:v>
      </x:c>
      <x:c r="J769" s="58" t="n">
        <x:f>IF(G769="","",ABS(E769-G769))</x:f>
        <x:v>180</x:v>
      </x:c>
      <x:c r="K769" s="58" t="n">
        <x:f>IF(H769="","",ABS(E769-H769))</x:f>
        <x:v>172.25</x:v>
      </x:c>
      <x:c r="L769" s="58" t="n">
        <x:f>IF(I769="","",ABS(E769-I769))</x:f>
        <x:v>163.125</x:v>
      </x:c>
      <x:c r="M769" s="23" t="str">
        <x:f>IF(B769&gt;44,"Validation","Training")</x:f>
        <x:v>Training</x:v>
      </x:c>
      <x:c r="N769" s="61" t="n">
        <x:f>IF(OR(H769="",E769=0),"",K769/E769)</x:f>
        <x:v>0.5980902777777778</x:v>
      </x:c>
    </x:row>
    <x:row r="770">
      <x:c r="A770" s="28" t="n">
        <x:v>40777</x:v>
      </x:c>
      <x:c r="B770" s="23" t="n">
        <x:v>38</x:v>
      </x:c>
      <x:c r="C770" s="23" t="str">
        <x:v>22720</x:v>
      </x:c>
      <x:c r="D770" s="23" t="str">
        <x:v>SET OF 3 CAKE TINS PANTRY DESIGN</x:v>
      </x:c>
      <x:c r="E770" s="34" t="n">
        <x:v>69</x:v>
      </x:c>
      <x:c r="F770" s="55" t="n">
        <x:v>353.71</x:v>
      </x:c>
      <x:c r="G770" s="58" t="n">
        <x:f>E769</x:f>
        <x:v>288</x:v>
      </x:c>
      <x:c r="H770" s="58" t="n">
        <x:f>AVERAGE(E766:E769)</x:f>
        <x:v>161.75</x:v>
      </x:c>
      <x:c r="I770" s="58" t="n">
        <x:f>AVERAGE(E762:E769)</x:f>
        <x:v>143.25</x:v>
      </x:c>
      <x:c r="J770" s="58" t="n">
        <x:f>IF(G770="","",ABS(E770-G770))</x:f>
        <x:v>219</x:v>
      </x:c>
      <x:c r="K770" s="58" t="n">
        <x:f>IF(H770="","",ABS(E770-H770))</x:f>
        <x:v>92.75</x:v>
      </x:c>
      <x:c r="L770" s="58" t="n">
        <x:f>IF(I770="","",ABS(E770-I770))</x:f>
        <x:v>74.25</x:v>
      </x:c>
      <x:c r="M770" s="23" t="str">
        <x:f>IF(B770&gt;44,"Validation","Training")</x:f>
        <x:v>Training</x:v>
      </x:c>
      <x:c r="N770" s="61" t="n">
        <x:f>IF(OR(H770="",E770=0),"",K770/E770)</x:f>
        <x:v>1.3442028985507246</x:v>
      </x:c>
    </x:row>
    <x:row r="771">
      <x:c r="A771" s="28" t="n">
        <x:v>40784</x:v>
      </x:c>
      <x:c r="B771" s="23" t="n">
        <x:v>39</x:v>
      </x:c>
      <x:c r="C771" s="23" t="str">
        <x:v>22720</x:v>
      </x:c>
      <x:c r="D771" s="23" t="str">
        <x:v>SET OF 3 CAKE TINS PANTRY DESIGN</x:v>
      </x:c>
      <x:c r="E771" s="34" t="n">
        <x:v>70</x:v>
      </x:c>
      <x:c r="F771" s="55" t="n">
        <x:v>463.3</x:v>
      </x:c>
      <x:c r="G771" s="58" t="n">
        <x:f>E770</x:f>
        <x:v>69</x:v>
      </x:c>
      <x:c r="H771" s="58" t="n">
        <x:f>AVERAGE(E767:E770)</x:f>
        <x:v>147.75</x:v>
      </x:c>
      <x:c r="I771" s="58" t="n">
        <x:f>AVERAGE(E763:E770)</x:f>
        <x:v>136.125</x:v>
      </x:c>
      <x:c r="J771" s="58" t="n">
        <x:f>IF(G771="","",ABS(E771-G771))</x:f>
        <x:v>1</x:v>
      </x:c>
      <x:c r="K771" s="58" t="n">
        <x:f>IF(H771="","",ABS(E771-H771))</x:f>
        <x:v>77.75</x:v>
      </x:c>
      <x:c r="L771" s="58" t="n">
        <x:f>IF(I771="","",ABS(E771-I771))</x:f>
        <x:v>66.125</x:v>
      </x:c>
      <x:c r="M771" s="23" t="str">
        <x:f>IF(B771&gt;44,"Validation","Training")</x:f>
        <x:v>Training</x:v>
      </x:c>
      <x:c r="N771" s="61" t="n">
        <x:f>IF(OR(H771="",E771=0),"",K771/E771)</x:f>
        <x:v>1.1107142857142858</x:v>
      </x:c>
    </x:row>
    <x:row r="772">
      <x:c r="A772" s="28" t="n">
        <x:v>40791</x:v>
      </x:c>
      <x:c r="B772" s="23" t="n">
        <x:v>40</x:v>
      </x:c>
      <x:c r="C772" s="23" t="str">
        <x:v>22720</x:v>
      </x:c>
      <x:c r="D772" s="23" t="str">
        <x:v>SET OF 3 CAKE TINS PANTRY DESIGN</x:v>
      </x:c>
      <x:c r="E772" s="34" t="n">
        <x:v>114</x:v>
      </x:c>
      <x:c r="F772" s="55" t="n">
        <x:v>571.58</x:v>
      </x:c>
      <x:c r="G772" s="58" t="n">
        <x:f>E771</x:f>
        <x:v>70</x:v>
      </x:c>
      <x:c r="H772" s="58" t="n">
        <x:f>AVERAGE(E768:E771)</x:f>
        <x:v>133.75</x:v>
      </x:c>
      <x:c r="I772" s="58" t="n">
        <x:f>AVERAGE(E764:E771)</x:f>
        <x:v>123.625</x:v>
      </x:c>
      <x:c r="J772" s="58" t="n">
        <x:f>IF(G772="","",ABS(E772-G772))</x:f>
        <x:v>44</x:v>
      </x:c>
      <x:c r="K772" s="58" t="n">
        <x:f>IF(H772="","",ABS(E772-H772))</x:f>
        <x:v>19.75</x:v>
      </x:c>
      <x:c r="L772" s="58" t="n">
        <x:f>IF(I772="","",ABS(E772-I772))</x:f>
        <x:v>9.625</x:v>
      </x:c>
      <x:c r="M772" s="23" t="str">
        <x:f>IF(B772&gt;44,"Validation","Training")</x:f>
        <x:v>Training</x:v>
      </x:c>
      <x:c r="N772" s="61" t="n">
        <x:f>IF(OR(H772="",E772=0),"",K772/E772)</x:f>
        <x:v>0.17324561403508773</x:v>
      </x:c>
    </x:row>
    <x:row r="773">
      <x:c r="A773" s="28" t="n">
        <x:v>40798</x:v>
      </x:c>
      <x:c r="B773" s="23" t="n">
        <x:v>41</x:v>
      </x:c>
      <x:c r="C773" s="23" t="str">
        <x:v>22720</x:v>
      </x:c>
      <x:c r="D773" s="23" t="str">
        <x:v>SET OF 3 CAKE TINS PANTRY DESIGN</x:v>
      </x:c>
      <x:c r="E773" s="34" t="n">
        <x:v>100</x:v>
      </x:c>
      <x:c r="F773" s="55" t="n">
        <x:v>541.72</x:v>
      </x:c>
      <x:c r="G773" s="58" t="n">
        <x:f>E772</x:f>
        <x:v>114</x:v>
      </x:c>
      <x:c r="H773" s="58" t="n">
        <x:f>AVERAGE(E769:E772)</x:f>
        <x:v>135.25</x:v>
      </x:c>
      <x:c r="I773" s="58" t="n">
        <x:f>AVERAGE(E765:E772)</x:f>
        <x:v>125.5</x:v>
      </x:c>
      <x:c r="J773" s="58" t="n">
        <x:f>IF(G773="","",ABS(E773-G773))</x:f>
        <x:v>14</x:v>
      </x:c>
      <x:c r="K773" s="58" t="n">
        <x:f>IF(H773="","",ABS(E773-H773))</x:f>
        <x:v>35.25</x:v>
      </x:c>
      <x:c r="L773" s="58" t="n">
        <x:f>IF(I773="","",ABS(E773-I773))</x:f>
        <x:v>25.5</x:v>
      </x:c>
      <x:c r="M773" s="23" t="str">
        <x:f>IF(B773&gt;44,"Validation","Training")</x:f>
        <x:v>Training</x:v>
      </x:c>
      <x:c r="N773" s="61" t="n">
        <x:f>IF(OR(H773="",E773=0),"",K773/E773)</x:f>
        <x:v>0.3525</x:v>
      </x:c>
    </x:row>
    <x:row r="774">
      <x:c r="A774" s="28" t="n">
        <x:v>40805</x:v>
      </x:c>
      <x:c r="B774" s="23" t="n">
        <x:v>42</x:v>
      </x:c>
      <x:c r="C774" s="23" t="str">
        <x:v>22720</x:v>
      </x:c>
      <x:c r="D774" s="23" t="str">
        <x:v>SET OF 3 CAKE TINS PANTRY DESIGN</x:v>
      </x:c>
      <x:c r="E774" s="34" t="n">
        <x:v>910</x:v>
      </x:c>
      <x:c r="F774" s="55" t="n">
        <x:v>4518.54</x:v>
      </x:c>
      <x:c r="G774" s="58" t="n">
        <x:f>E773</x:f>
        <x:v>100</x:v>
      </x:c>
      <x:c r="H774" s="58" t="n">
        <x:f>AVERAGE(E770:E773)</x:f>
        <x:v>88.25</x:v>
      </x:c>
      <x:c r="I774" s="58" t="n">
        <x:f>AVERAGE(E766:E773)</x:f>
        <x:v>125</x:v>
      </x:c>
      <x:c r="J774" s="58" t="n">
        <x:f>IF(G774="","",ABS(E774-G774))</x:f>
        <x:v>810</x:v>
      </x:c>
      <x:c r="K774" s="58" t="n">
        <x:f>IF(H774="","",ABS(E774-H774))</x:f>
        <x:v>821.75</x:v>
      </x:c>
      <x:c r="L774" s="58" t="n">
        <x:f>IF(I774="","",ABS(E774-I774))</x:f>
        <x:v>785</x:v>
      </x:c>
      <x:c r="M774" s="23" t="str">
        <x:f>IF(B774&gt;44,"Validation","Training")</x:f>
        <x:v>Training</x:v>
      </x:c>
      <x:c r="N774" s="61" t="n">
        <x:f>IF(OR(H774="",E774=0),"",K774/E774)</x:f>
        <x:v>0.903021978021978</x:v>
      </x:c>
    </x:row>
    <x:row r="775">
      <x:c r="A775" s="28" t="n">
        <x:v>40812</x:v>
      </x:c>
      <x:c r="B775" s="23" t="n">
        <x:v>43</x:v>
      </x:c>
      <x:c r="C775" s="23" t="str">
        <x:v>22720</x:v>
      </x:c>
      <x:c r="D775" s="23" t="str">
        <x:v>SET OF 3 CAKE TINS PANTRY DESIGN</x:v>
      </x:c>
      <x:c r="E775" s="34" t="n">
        <x:v>79</x:v>
      </x:c>
      <x:c r="F775" s="55" t="n">
        <x:v>426.09</x:v>
      </x:c>
      <x:c r="G775" s="58" t="n">
        <x:f>E774</x:f>
        <x:v>910</x:v>
      </x:c>
      <x:c r="H775" s="58" t="n">
        <x:f>AVERAGE(E771:E774)</x:f>
        <x:v>298.5</x:v>
      </x:c>
      <x:c r="I775" s="58" t="n">
        <x:f>AVERAGE(E767:E774)</x:f>
        <x:v>223.125</x:v>
      </x:c>
      <x:c r="J775" s="58" t="n">
        <x:f>IF(G775="","",ABS(E775-G775))</x:f>
        <x:v>831</x:v>
      </x:c>
      <x:c r="K775" s="58" t="n">
        <x:f>IF(H775="","",ABS(E775-H775))</x:f>
        <x:v>219.5</x:v>
      </x:c>
      <x:c r="L775" s="58" t="n">
        <x:f>IF(I775="","",ABS(E775-I775))</x:f>
        <x:v>144.125</x:v>
      </x:c>
      <x:c r="M775" s="23" t="str">
        <x:f>IF(B775&gt;44,"Validation","Training")</x:f>
        <x:v>Training</x:v>
      </x:c>
      <x:c r="N775" s="61" t="n">
        <x:f>IF(OR(H775="",E775=0),"",K775/E775)</x:f>
        <x:v>2.778481012658228</x:v>
      </x:c>
    </x:row>
    <x:row r="776">
      <x:c r="A776" s="28" t="n">
        <x:v>40819</x:v>
      </x:c>
      <x:c r="B776" s="23" t="n">
        <x:v>44</x:v>
      </x:c>
      <x:c r="C776" s="23" t="str">
        <x:v>22720</x:v>
      </x:c>
      <x:c r="D776" s="23" t="str">
        <x:v>SET OF 3 CAKE TINS PANTRY DESIGN</x:v>
      </x:c>
      <x:c r="E776" s="34" t="n">
        <x:v>134</x:v>
      </x:c>
      <x:c r="F776" s="55" t="n">
        <x:v>658.9</x:v>
      </x:c>
      <x:c r="G776" s="58" t="n">
        <x:f>E775</x:f>
        <x:v>79</x:v>
      </x:c>
      <x:c r="H776" s="58" t="n">
        <x:f>AVERAGE(E772:E775)</x:f>
        <x:v>300.75</x:v>
      </x:c>
      <x:c r="I776" s="58" t="n">
        <x:f>AVERAGE(E768:E775)</x:f>
        <x:v>217.25</x:v>
      </x:c>
      <x:c r="J776" s="58" t="n">
        <x:f>IF(G776="","",ABS(E776-G776))</x:f>
        <x:v>55</x:v>
      </x:c>
      <x:c r="K776" s="58" t="n">
        <x:f>IF(H776="","",ABS(E776-H776))</x:f>
        <x:v>166.75</x:v>
      </x:c>
      <x:c r="L776" s="58" t="n">
        <x:f>IF(I776="","",ABS(E776-I776))</x:f>
        <x:v>83.25</x:v>
      </x:c>
      <x:c r="M776" s="23" t="str">
        <x:f>IF(B776&gt;44,"Validation","Training")</x:f>
        <x:v>Training</x:v>
      </x:c>
      <x:c r="N776" s="61" t="n">
        <x:f>IF(OR(H776="",E776=0),"",K776/E776)</x:f>
        <x:v>1.2444029850746268</x:v>
      </x:c>
    </x:row>
    <x:row r="777">
      <x:c r="A777" s="28" t="n">
        <x:v>40826</x:v>
      </x:c>
      <x:c r="B777" s="23" t="n">
        <x:v>45</x:v>
      </x:c>
      <x:c r="C777" s="23" t="str">
        <x:v>22720</x:v>
      </x:c>
      <x:c r="D777" s="23" t="str">
        <x:v>SET OF 3 CAKE TINS PANTRY DESIGN</x:v>
      </x:c>
      <x:c r="E777" s="34" t="n">
        <x:v>158</x:v>
      </x:c>
      <x:c r="F777" s="55" t="n">
        <x:v>824.42</x:v>
      </x:c>
      <x:c r="G777" s="58" t="n">
        <x:f>E776</x:f>
        <x:v>134</x:v>
      </x:c>
      <x:c r="H777" s="58" t="n">
        <x:f>AVERAGE(E773:E776)</x:f>
        <x:v>305.75</x:v>
      </x:c>
      <x:c r="I777" s="58" t="n">
        <x:f>AVERAGE(E769:E776)</x:f>
        <x:v>220.5</x:v>
      </x:c>
      <x:c r="J777" s="58" t="n">
        <x:f>IF(G777="","",ABS(E777-G777))</x:f>
        <x:v>24</x:v>
      </x:c>
      <x:c r="K777" s="58" t="n">
        <x:f>IF(H777="","",ABS(E777-H777))</x:f>
        <x:v>147.75</x:v>
      </x:c>
      <x:c r="L777" s="58" t="n">
        <x:f>IF(I777="","",ABS(E777-I777))</x:f>
        <x:v>62.5</x:v>
      </x:c>
      <x:c r="M777" s="23" t="str">
        <x:f>IF(B777&gt;44,"Validation","Training")</x:f>
        <x:v>Validation</x:v>
      </x:c>
      <x:c r="N777" s="61" t="n">
        <x:f>IF(OR(H777="",E777=0),"",K777/E777)</x:f>
        <x:v>0.935126582278481</x:v>
      </x:c>
    </x:row>
    <x:row r="778">
      <x:c r="A778" s="28" t="n">
        <x:v>40833</x:v>
      </x:c>
      <x:c r="B778" s="23" t="n">
        <x:v>46</x:v>
      </x:c>
      <x:c r="C778" s="23" t="str">
        <x:v>22720</x:v>
      </x:c>
      <x:c r="D778" s="23" t="str">
        <x:v>SET OF 3 CAKE TINS PANTRY DESIGN</x:v>
      </x:c>
      <x:c r="E778" s="34" t="n">
        <x:v>186</x:v>
      </x:c>
      <x:c r="F778" s="55" t="n">
        <x:v>949.9</x:v>
      </x:c>
      <x:c r="G778" s="58" t="n">
        <x:f>E777</x:f>
        <x:v>158</x:v>
      </x:c>
      <x:c r="H778" s="58" t="n">
        <x:f>AVERAGE(E774:E777)</x:f>
        <x:v>320.25</x:v>
      </x:c>
      <x:c r="I778" s="58" t="n">
        <x:f>AVERAGE(E770:E777)</x:f>
        <x:v>204.25</x:v>
      </x:c>
      <x:c r="J778" s="58" t="n">
        <x:f>IF(G778="","",ABS(E778-G778))</x:f>
        <x:v>28</x:v>
      </x:c>
      <x:c r="K778" s="58" t="n">
        <x:f>IF(H778="","",ABS(E778-H778))</x:f>
        <x:v>134.25</x:v>
      </x:c>
      <x:c r="L778" s="58" t="n">
        <x:f>IF(I778="","",ABS(E778-I778))</x:f>
        <x:v>18.25</x:v>
      </x:c>
      <x:c r="M778" s="23" t="str">
        <x:f>IF(B778&gt;44,"Validation","Training")</x:f>
        <x:v>Validation</x:v>
      </x:c>
      <x:c r="N778" s="61" t="n">
        <x:f>IF(OR(H778="",E778=0),"",K778/E778)</x:f>
        <x:v>0.7217741935483871</x:v>
      </x:c>
    </x:row>
    <x:row r="779">
      <x:c r="A779" s="28" t="n">
        <x:v>40840</x:v>
      </x:c>
      <x:c r="B779" s="23" t="n">
        <x:v>47</x:v>
      </x:c>
      <x:c r="C779" s="23" t="str">
        <x:v>22720</x:v>
      </x:c>
      <x:c r="D779" s="23" t="str">
        <x:v>SET OF 3 CAKE TINS PANTRY DESIGN</x:v>
      </x:c>
      <x:c r="E779" s="34" t="n">
        <x:v>102</x:v>
      </x:c>
      <x:c r="F779" s="55" t="n">
        <x:v>563.3</x:v>
      </x:c>
      <x:c r="G779" s="58" t="n">
        <x:f>E778</x:f>
        <x:v>186</x:v>
      </x:c>
      <x:c r="H779" s="58" t="n">
        <x:f>AVERAGE(E775:E778)</x:f>
        <x:v>139.25</x:v>
      </x:c>
      <x:c r="I779" s="58" t="n">
        <x:f>AVERAGE(E771:E778)</x:f>
        <x:v>218.875</x:v>
      </x:c>
      <x:c r="J779" s="58" t="n">
        <x:f>IF(G779="","",ABS(E779-G779))</x:f>
        <x:v>84</x:v>
      </x:c>
      <x:c r="K779" s="58" t="n">
        <x:f>IF(H779="","",ABS(E779-H779))</x:f>
        <x:v>37.25</x:v>
      </x:c>
      <x:c r="L779" s="58" t="n">
        <x:f>IF(I779="","",ABS(E779-I779))</x:f>
        <x:v>116.875</x:v>
      </x:c>
      <x:c r="M779" s="23" t="str">
        <x:f>IF(B779&gt;44,"Validation","Training")</x:f>
        <x:v>Validation</x:v>
      </x:c>
      <x:c r="N779" s="61" t="n">
        <x:f>IF(OR(H779="",E779=0),"",K779/E779)</x:f>
        <x:v>0.36519607843137253</x:v>
      </x:c>
    </x:row>
    <x:row r="780">
      <x:c r="A780" s="28" t="n">
        <x:v>40847</x:v>
      </x:c>
      <x:c r="B780" s="23" t="n">
        <x:v>48</x:v>
      </x:c>
      <x:c r="C780" s="23" t="str">
        <x:v>22720</x:v>
      </x:c>
      <x:c r="D780" s="23" t="str">
        <x:v>SET OF 3 CAKE TINS PANTRY DESIGN</x:v>
      </x:c>
      <x:c r="E780" s="34" t="n">
        <x:v>185</x:v>
      </x:c>
      <x:c r="F780" s="55" t="n">
        <x:v>953.19</x:v>
      </x:c>
      <x:c r="G780" s="58" t="n">
        <x:f>E779</x:f>
        <x:v>102</x:v>
      </x:c>
      <x:c r="H780" s="58" t="n">
        <x:f>AVERAGE(E776:E779)</x:f>
        <x:v>145</x:v>
      </x:c>
      <x:c r="I780" s="58" t="n">
        <x:f>AVERAGE(E772:E779)</x:f>
        <x:v>222.875</x:v>
      </x:c>
      <x:c r="J780" s="58" t="n">
        <x:f>IF(G780="","",ABS(E780-G780))</x:f>
        <x:v>83</x:v>
      </x:c>
      <x:c r="K780" s="58" t="n">
        <x:f>IF(H780="","",ABS(E780-H780))</x:f>
        <x:v>40</x:v>
      </x:c>
      <x:c r="L780" s="58" t="n">
        <x:f>IF(I780="","",ABS(E780-I780))</x:f>
        <x:v>37.875</x:v>
      </x:c>
      <x:c r="M780" s="23" t="str">
        <x:f>IF(B780&gt;44,"Validation","Training")</x:f>
        <x:v>Validation</x:v>
      </x:c>
      <x:c r="N780" s="61" t="n">
        <x:f>IF(OR(H780="",E780=0),"",K780/E780)</x:f>
        <x:v>0.21621621621621623</x:v>
      </x:c>
    </x:row>
    <x:row r="781">
      <x:c r="A781" s="28" t="n">
        <x:v>40854</x:v>
      </x:c>
      <x:c r="B781" s="23" t="n">
        <x:v>49</x:v>
      </x:c>
      <x:c r="C781" s="23" t="str">
        <x:v>22720</x:v>
      </x:c>
      <x:c r="D781" s="23" t="str">
        <x:v>SET OF 3 CAKE TINS PANTRY DESIGN</x:v>
      </x:c>
      <x:c r="E781" s="34" t="n">
        <x:v>112</x:v>
      </x:c>
      <x:c r="F781" s="55" t="n">
        <x:v>671.2</x:v>
      </x:c>
      <x:c r="G781" s="58" t="n">
        <x:f>E780</x:f>
        <x:v>185</x:v>
      </x:c>
      <x:c r="H781" s="58" t="n">
        <x:f>AVERAGE(E777:E780)</x:f>
        <x:v>157.75</x:v>
      </x:c>
      <x:c r="I781" s="58" t="n">
        <x:f>AVERAGE(E773:E780)</x:f>
        <x:v>231.75</x:v>
      </x:c>
      <x:c r="J781" s="58" t="n">
        <x:f>IF(G781="","",ABS(E781-G781))</x:f>
        <x:v>73</x:v>
      </x:c>
      <x:c r="K781" s="58" t="n">
        <x:f>IF(H781="","",ABS(E781-H781))</x:f>
        <x:v>45.75</x:v>
      </x:c>
      <x:c r="L781" s="58" t="n">
        <x:f>IF(I781="","",ABS(E781-I781))</x:f>
        <x:v>119.75</x:v>
      </x:c>
      <x:c r="M781" s="23" t="str">
        <x:f>IF(B781&gt;44,"Validation","Training")</x:f>
        <x:v>Validation</x:v>
      </x:c>
      <x:c r="N781" s="61" t="n">
        <x:f>IF(OR(H781="",E781=0),"",K781/E781)</x:f>
        <x:v>0.40848214285714285</x:v>
      </x:c>
    </x:row>
    <x:row r="782">
      <x:c r="A782" s="28" t="n">
        <x:v>40861</x:v>
      </x:c>
      <x:c r="B782" s="23" t="n">
        <x:v>50</x:v>
      </x:c>
      <x:c r="C782" s="23" t="str">
        <x:v>22720</x:v>
      </x:c>
      <x:c r="D782" s="23" t="str">
        <x:v>SET OF 3 CAKE TINS PANTRY DESIGN</x:v>
      </x:c>
      <x:c r="E782" s="34" t="n">
        <x:v>110</x:v>
      </x:c>
      <x:c r="F782" s="55" t="n">
        <x:v>643.78</x:v>
      </x:c>
      <x:c r="G782" s="58" t="n">
        <x:f>E781</x:f>
        <x:v>112</x:v>
      </x:c>
      <x:c r="H782" s="58" t="n">
        <x:f>AVERAGE(E778:E781)</x:f>
        <x:v>146.25</x:v>
      </x:c>
      <x:c r="I782" s="58" t="n">
        <x:f>AVERAGE(E774:E781)</x:f>
        <x:v>233.25</x:v>
      </x:c>
      <x:c r="J782" s="58" t="n">
        <x:f>IF(G782="","",ABS(E782-G782))</x:f>
        <x:v>2</x:v>
      </x:c>
      <x:c r="K782" s="58" t="n">
        <x:f>IF(H782="","",ABS(E782-H782))</x:f>
        <x:v>36.25</x:v>
      </x:c>
      <x:c r="L782" s="58" t="n">
        <x:f>IF(I782="","",ABS(E782-I782))</x:f>
        <x:v>123.25</x:v>
      </x:c>
      <x:c r="M782" s="23" t="str">
        <x:f>IF(B782&gt;44,"Validation","Training")</x:f>
        <x:v>Validation</x:v>
      </x:c>
      <x:c r="N782" s="61" t="n">
        <x:f>IF(OR(H782="",E782=0),"",K782/E782)</x:f>
        <x:v>0.32954545454545453</x:v>
      </x:c>
    </x:row>
    <x:row r="783">
      <x:c r="A783" s="28" t="n">
        <x:v>40868</x:v>
      </x:c>
      <x:c r="B783" s="23" t="n">
        <x:v>51</x:v>
      </x:c>
      <x:c r="C783" s="23" t="str">
        <x:v>22720</x:v>
      </x:c>
      <x:c r="D783" s="23" t="str">
        <x:v>SET OF 3 CAKE TINS PANTRY DESIGN</x:v>
      </x:c>
      <x:c r="E783" s="34" t="n">
        <x:v>73</x:v>
      </x:c>
      <x:c r="F783" s="55" t="n">
        <x:v>524.87</x:v>
      </x:c>
      <x:c r="G783" s="58" t="n">
        <x:f>E782</x:f>
        <x:v>110</x:v>
      </x:c>
      <x:c r="H783" s="58" t="n">
        <x:f>AVERAGE(E779:E782)</x:f>
        <x:v>127.25</x:v>
      </x:c>
      <x:c r="I783" s="58" t="n">
        <x:f>AVERAGE(E775:E782)</x:f>
        <x:v>133.25</x:v>
      </x:c>
      <x:c r="J783" s="58" t="n">
        <x:f>IF(G783="","",ABS(E783-G783))</x:f>
        <x:v>37</x:v>
      </x:c>
      <x:c r="K783" s="58" t="n">
        <x:f>IF(H783="","",ABS(E783-H783))</x:f>
        <x:v>54.25</x:v>
      </x:c>
      <x:c r="L783" s="58" t="n">
        <x:f>IF(I783="","",ABS(E783-I783))</x:f>
        <x:v>60.25</x:v>
      </x:c>
      <x:c r="M783" s="23" t="str">
        <x:f>IF(B783&gt;44,"Validation","Training")</x:f>
        <x:v>Validation</x:v>
      </x:c>
      <x:c r="N783" s="61" t="n">
        <x:f>IF(OR(H783="",E783=0),"",K783/E783)</x:f>
        <x:v>0.7431506849315068</x:v>
      </x:c>
    </x:row>
    <x:row r="784">
      <x:c r="A784" s="28" t="n">
        <x:v>40875</x:v>
      </x:c>
      <x:c r="B784" s="23" t="n">
        <x:v>52</x:v>
      </x:c>
      <x:c r="C784" s="23" t="str">
        <x:v>22720</x:v>
      </x:c>
      <x:c r="D784" s="23" t="str">
        <x:v>SET OF 3 CAKE TINS PANTRY DESIGN</x:v>
      </x:c>
      <x:c r="E784" s="34" t="n">
        <x:v>160</x:v>
      </x:c>
      <x:c r="F784" s="55" t="n">
        <x:v>973.92</x:v>
      </x:c>
      <x:c r="G784" s="58" t="n">
        <x:f>E783</x:f>
        <x:v>73</x:v>
      </x:c>
      <x:c r="H784" s="58" t="n">
        <x:f>AVERAGE(E780:E783)</x:f>
        <x:v>120</x:v>
      </x:c>
      <x:c r="I784" s="58" t="n">
        <x:f>AVERAGE(E776:E783)</x:f>
        <x:v>132.5</x:v>
      </x:c>
      <x:c r="J784" s="58" t="n">
        <x:f>IF(G784="","",ABS(E784-G784))</x:f>
        <x:v>87</x:v>
      </x:c>
      <x:c r="K784" s="58" t="n">
        <x:f>IF(H784="","",ABS(E784-H784))</x:f>
        <x:v>40</x:v>
      </x:c>
      <x:c r="L784" s="58" t="n">
        <x:f>IF(I784="","",ABS(E784-I784))</x:f>
        <x:v>27.5</x:v>
      </x:c>
      <x:c r="M784" s="23" t="str">
        <x:f>IF(B784&gt;44,"Validation","Training")</x:f>
        <x:v>Validation</x:v>
      </x:c>
      <x:c r="N784" s="61" t="n">
        <x:f>IF(OR(H784="",E784=0),"",K784/E784)</x:f>
        <x:v>0.25</x:v>
      </x:c>
    </x:row>
    <x:row r="785">
      <x:c r="A785" s="28" t="n">
        <x:v>40518</x:v>
      </x:c>
      <x:c r="B785" s="23" t="n">
        <x:v>1</x:v>
      </x:c>
      <x:c r="C785" s="23" t="str">
        <x:v>23284</x:v>
      </x:c>
      <x:c r="D785" s="23" t="str">
        <x:v>DOORMAT KEEP CALM AND COME IN</x:v>
      </x:c>
      <x:c r="E785" s="34" t="n">
        <x:v>0</x:v>
      </x:c>
      <x:c r="F785" s="55" t="n">
        <x:v>0</x:v>
      </x:c>
      <x:c r="G785" s="58" t="str">
        <x:f>""</x:f>
      </x:c>
      <x:c r="H785" s="58" t="str">
        <x:f>""</x:f>
      </x:c>
      <x:c r="I785" s="58" t="str">
        <x:f>""</x:f>
      </x:c>
      <x:c r="J785" s="58" t="str">
        <x:f>IF(G785="","",ABS(E785-G785))</x:f>
      </x:c>
      <x:c r="K785" s="58" t="str">
        <x:f>IF(H785="","",ABS(E785-H785))</x:f>
      </x:c>
      <x:c r="L785" s="58" t="str">
        <x:f>IF(I785="","",ABS(E785-I785))</x:f>
      </x:c>
      <x:c r="M785" s="23" t="str">
        <x:f>IF(B785&gt;44,"Validation","Training")</x:f>
        <x:v>Training</x:v>
      </x:c>
      <x:c r="N785" s="61" t="str">
        <x:f>IF(OR(H785="",E785=0),"",K785/E785)</x:f>
      </x:c>
    </x:row>
    <x:row r="786">
      <x:c r="A786" s="28" t="n">
        <x:v>40525</x:v>
      </x:c>
      <x:c r="B786" s="23" t="n">
        <x:v>2</x:v>
      </x:c>
      <x:c r="C786" s="23" t="str">
        <x:v>23284</x:v>
      </x:c>
      <x:c r="D786" s="23" t="str">
        <x:v>DOORMAT KEEP CALM AND COME IN</x:v>
      </x:c>
      <x:c r="E786" s="34" t="n">
        <x:v>0</x:v>
      </x:c>
      <x:c r="F786" s="55" t="n">
        <x:v>0</x:v>
      </x:c>
      <x:c r="G786" s="58" t="n">
        <x:f>E785</x:f>
        <x:v>0</x:v>
      </x:c>
      <x:c r="H786" s="58" t="str">
        <x:f>""</x:f>
      </x:c>
      <x:c r="I786" s="58" t="str">
        <x:f>""</x:f>
      </x:c>
      <x:c r="J786" s="58" t="str">
        <x:f>IF(G786="","",ABS(E786-G786))</x:f>
      </x:c>
      <x:c r="K786" s="58" t="str">
        <x:f>IF(H786="","",ABS(E786-H786))</x:f>
      </x:c>
      <x:c r="L786" s="58" t="str">
        <x:f>IF(I786="","",ABS(E786-I786))</x:f>
      </x:c>
      <x:c r="M786" s="23" t="str">
        <x:f>IF(B786&gt;44,"Validation","Training")</x:f>
        <x:v>Training</x:v>
      </x:c>
      <x:c r="N786" s="61" t="str">
        <x:f>IF(OR(H786="",E786=0),"",K786/E786)</x:f>
      </x:c>
    </x:row>
    <x:row r="787">
      <x:c r="A787" s="28" t="n">
        <x:v>40532</x:v>
      </x:c>
      <x:c r="B787" s="23" t="n">
        <x:v>3</x:v>
      </x:c>
      <x:c r="C787" s="23" t="str">
        <x:v>23284</x:v>
      </x:c>
      <x:c r="D787" s="23" t="str">
        <x:v>DOORMAT KEEP CALM AND COME IN</x:v>
      </x:c>
      <x:c r="E787" s="34" t="n">
        <x:v>0</x:v>
      </x:c>
      <x:c r="F787" s="55" t="n">
        <x:v>0</x:v>
      </x:c>
      <x:c r="G787" s="58" t="n">
        <x:f>E786</x:f>
        <x:v>0</x:v>
      </x:c>
      <x:c r="H787" s="58" t="str">
        <x:f>""</x:f>
      </x:c>
      <x:c r="I787" s="58" t="str">
        <x:f>""</x:f>
      </x:c>
      <x:c r="J787" s="58" t="str">
        <x:f>IF(G787="","",ABS(E787-G787))</x:f>
      </x:c>
      <x:c r="K787" s="58" t="str">
        <x:f>IF(H787="","",ABS(E787-H787))</x:f>
      </x:c>
      <x:c r="L787" s="58" t="str">
        <x:f>IF(I787="","",ABS(E787-I787))</x:f>
      </x:c>
      <x:c r="M787" s="23" t="str">
        <x:f>IF(B787&gt;44,"Validation","Training")</x:f>
        <x:v>Training</x:v>
      </x:c>
      <x:c r="N787" s="61" t="str">
        <x:f>IF(OR(H787="",E787=0),"",K787/E787)</x:f>
      </x:c>
    </x:row>
    <x:row r="788">
      <x:c r="A788" s="28" t="n">
        <x:v>40539</x:v>
      </x:c>
      <x:c r="B788" s="23" t="n">
        <x:v>4</x:v>
      </x:c>
      <x:c r="C788" s="23" t="str">
        <x:v>23284</x:v>
      </x:c>
      <x:c r="D788" s="23" t="str">
        <x:v>DOORMAT KEEP CALM AND COME IN</x:v>
      </x:c>
      <x:c r="E788" s="34" t="n">
        <x:v>0</x:v>
      </x:c>
      <x:c r="F788" s="55" t="n">
        <x:v>0</x:v>
      </x:c>
      <x:c r="G788" s="58" t="n">
        <x:f>E787</x:f>
        <x:v>0</x:v>
      </x:c>
      <x:c r="H788" s="58" t="str">
        <x:f>""</x:f>
      </x:c>
      <x:c r="I788" s="58" t="str">
        <x:f>""</x:f>
      </x:c>
      <x:c r="J788" s="58" t="str">
        <x:f>IF(G788="","",ABS(E788-G788))</x:f>
      </x:c>
      <x:c r="K788" s="58" t="str">
        <x:f>IF(H788="","",ABS(E788-H788))</x:f>
      </x:c>
      <x:c r="L788" s="58" t="str">
        <x:f>IF(I788="","",ABS(E788-I788))</x:f>
      </x:c>
      <x:c r="M788" s="23" t="str">
        <x:f>IF(B788&gt;44,"Validation","Training")</x:f>
        <x:v>Training</x:v>
      </x:c>
      <x:c r="N788" s="61" t="str">
        <x:f>IF(OR(H788="",E788=0),"",K788/E788)</x:f>
      </x:c>
    </x:row>
    <x:row r="789">
      <x:c r="A789" s="28" t="n">
        <x:v>40546</x:v>
      </x:c>
      <x:c r="B789" s="23" t="n">
        <x:v>5</x:v>
      </x:c>
      <x:c r="C789" s="23" t="str">
        <x:v>23284</x:v>
      </x:c>
      <x:c r="D789" s="23" t="str">
        <x:v>DOORMAT KEEP CALM AND COME IN</x:v>
      </x:c>
      <x:c r="E789" s="34" t="n">
        <x:v>0</x:v>
      </x:c>
      <x:c r="F789" s="55" t="n">
        <x:v>0</x:v>
      </x:c>
      <x:c r="G789" s="58" t="n">
        <x:f>E788</x:f>
        <x:v>0</x:v>
      </x:c>
      <x:c r="H789" s="58" t="n">
        <x:f>AVERAGE(E785:E788)</x:f>
        <x:v>0</x:v>
      </x:c>
      <x:c r="I789" s="58" t="str">
        <x:f>""</x:f>
      </x:c>
      <x:c r="J789" s="58" t="str">
        <x:f>IF(G789="","",ABS(E789-G789))</x:f>
      </x:c>
      <x:c r="K789" s="58" t="str">
        <x:f>IF(H789="","",ABS(E789-H789))</x:f>
      </x:c>
      <x:c r="L789" s="58" t="str">
        <x:f>IF(I789="","",ABS(E789-I789))</x:f>
      </x:c>
      <x:c r="M789" s="23" t="str">
        <x:f>IF(B789&gt;44,"Validation","Training")</x:f>
        <x:v>Training</x:v>
      </x:c>
      <x:c r="N789" s="61" t="str">
        <x:f>IF(OR(H789="",E789=0),"",K789/E789)</x:f>
      </x:c>
    </x:row>
    <x:row r="790">
      <x:c r="A790" s="28" t="n">
        <x:v>40553</x:v>
      </x:c>
      <x:c r="B790" s="23" t="n">
        <x:v>6</x:v>
      </x:c>
      <x:c r="C790" s="23" t="str">
        <x:v>23284</x:v>
      </x:c>
      <x:c r="D790" s="23" t="str">
        <x:v>DOORMAT KEEP CALM AND COME IN</x:v>
      </x:c>
      <x:c r="E790" s="34" t="n">
        <x:v>0</x:v>
      </x:c>
      <x:c r="F790" s="55" t="n">
        <x:v>0</x:v>
      </x:c>
      <x:c r="G790" s="58" t="n">
        <x:f>E789</x:f>
        <x:v>0</x:v>
      </x:c>
      <x:c r="H790" s="58" t="n">
        <x:f>AVERAGE(E786:E789)</x:f>
        <x:v>0</x:v>
      </x:c>
      <x:c r="I790" s="58" t="str">
        <x:f>""</x:f>
      </x:c>
      <x:c r="J790" s="58" t="str">
        <x:f>IF(G790="","",ABS(E790-G790))</x:f>
      </x:c>
      <x:c r="K790" s="58" t="str">
        <x:f>IF(H790="","",ABS(E790-H790))</x:f>
      </x:c>
      <x:c r="L790" s="58" t="str">
        <x:f>IF(I790="","",ABS(E790-I790))</x:f>
      </x:c>
      <x:c r="M790" s="23" t="str">
        <x:f>IF(B790&gt;44,"Validation","Training")</x:f>
        <x:v>Training</x:v>
      </x:c>
      <x:c r="N790" s="61" t="str">
        <x:f>IF(OR(H790="",E790=0),"",K790/E790)</x:f>
      </x:c>
    </x:row>
    <x:row r="791">
      <x:c r="A791" s="28" t="n">
        <x:v>40560</x:v>
      </x:c>
      <x:c r="B791" s="23" t="n">
        <x:v>7</x:v>
      </x:c>
      <x:c r="C791" s="23" t="str">
        <x:v>23284</x:v>
      </x:c>
      <x:c r="D791" s="23" t="str">
        <x:v>DOORMAT KEEP CALM AND COME IN</x:v>
      </x:c>
      <x:c r="E791" s="34" t="n">
        <x:v>0</x:v>
      </x:c>
      <x:c r="F791" s="55" t="n">
        <x:v>0</x:v>
      </x:c>
      <x:c r="G791" s="58" t="n">
        <x:f>E790</x:f>
        <x:v>0</x:v>
      </x:c>
      <x:c r="H791" s="58" t="n">
        <x:f>AVERAGE(E787:E790)</x:f>
        <x:v>0</x:v>
      </x:c>
      <x:c r="I791" s="58" t="str">
        <x:f>""</x:f>
      </x:c>
      <x:c r="J791" s="58" t="str">
        <x:f>IF(G791="","",ABS(E791-G791))</x:f>
      </x:c>
      <x:c r="K791" s="58" t="str">
        <x:f>IF(H791="","",ABS(E791-H791))</x:f>
      </x:c>
      <x:c r="L791" s="58" t="str">
        <x:f>IF(I791="","",ABS(E791-I791))</x:f>
      </x:c>
      <x:c r="M791" s="23" t="str">
        <x:f>IF(B791&gt;44,"Validation","Training")</x:f>
        <x:v>Training</x:v>
      </x:c>
      <x:c r="N791" s="61" t="str">
        <x:f>IF(OR(H791="",E791=0),"",K791/E791)</x:f>
      </x:c>
    </x:row>
    <x:row r="792">
      <x:c r="A792" s="28" t="n">
        <x:v>40567</x:v>
      </x:c>
      <x:c r="B792" s="23" t="n">
        <x:v>8</x:v>
      </x:c>
      <x:c r="C792" s="23" t="str">
        <x:v>23284</x:v>
      </x:c>
      <x:c r="D792" s="23" t="str">
        <x:v>DOORMAT KEEP CALM AND COME IN</x:v>
      </x:c>
      <x:c r="E792" s="34" t="n">
        <x:v>0</x:v>
      </x:c>
      <x:c r="F792" s="55" t="n">
        <x:v>0</x:v>
      </x:c>
      <x:c r="G792" s="58" t="n">
        <x:f>E791</x:f>
        <x:v>0</x:v>
      </x:c>
      <x:c r="H792" s="58" t="n">
        <x:f>AVERAGE(E788:E791)</x:f>
        <x:v>0</x:v>
      </x:c>
      <x:c r="I792" s="58" t="str">
        <x:f>""</x:f>
      </x:c>
      <x:c r="J792" s="58" t="str">
        <x:f>IF(G792="","",ABS(E792-G792))</x:f>
      </x:c>
      <x:c r="K792" s="58" t="str">
        <x:f>IF(H792="","",ABS(E792-H792))</x:f>
      </x:c>
      <x:c r="L792" s="58" t="str">
        <x:f>IF(I792="","",ABS(E792-I792))</x:f>
      </x:c>
      <x:c r="M792" s="23" t="str">
        <x:f>IF(B792&gt;44,"Validation","Training")</x:f>
        <x:v>Training</x:v>
      </x:c>
      <x:c r="N792" s="61" t="str">
        <x:f>IF(OR(H792="",E792=0),"",K792/E792)</x:f>
      </x:c>
    </x:row>
    <x:row r="793">
      <x:c r="A793" s="28" t="n">
        <x:v>40574</x:v>
      </x:c>
      <x:c r="B793" s="23" t="n">
        <x:v>9</x:v>
      </x:c>
      <x:c r="C793" s="23" t="str">
        <x:v>23284</x:v>
      </x:c>
      <x:c r="D793" s="23" t="str">
        <x:v>DOORMAT KEEP CALM AND COME IN</x:v>
      </x:c>
      <x:c r="E793" s="34" t="n">
        <x:v>0</x:v>
      </x:c>
      <x:c r="F793" s="55" t="n">
        <x:v>0</x:v>
      </x:c>
      <x:c r="G793" s="58" t="n">
        <x:f>E792</x:f>
        <x:v>0</x:v>
      </x:c>
      <x:c r="H793" s="58" t="n">
        <x:f>AVERAGE(E789:E792)</x:f>
        <x:v>0</x:v>
      </x:c>
      <x:c r="I793" s="58" t="n">
        <x:f>AVERAGE(E785:E792)</x:f>
        <x:v>0</x:v>
      </x:c>
      <x:c r="J793" s="58" t="str">
        <x:f>IF(G793="","",ABS(E793-G793))</x:f>
      </x:c>
      <x:c r="K793" s="58" t="str">
        <x:f>IF(H793="","",ABS(E793-H793))</x:f>
      </x:c>
      <x:c r="L793" s="58" t="str">
        <x:f>IF(I793="","",ABS(E793-I793))</x:f>
      </x:c>
      <x:c r="M793" s="23" t="str">
        <x:f>IF(B793&gt;44,"Validation","Training")</x:f>
        <x:v>Training</x:v>
      </x:c>
      <x:c r="N793" s="61" t="str">
        <x:f>IF(OR(H793="",E793=0),"",K793/E793)</x:f>
      </x:c>
    </x:row>
    <x:row r="794">
      <x:c r="A794" s="28" t="n">
        <x:v>40581</x:v>
      </x:c>
      <x:c r="B794" s="23" t="n">
        <x:v>10</x:v>
      </x:c>
      <x:c r="C794" s="23" t="str">
        <x:v>23284</x:v>
      </x:c>
      <x:c r="D794" s="23" t="str">
        <x:v>DOORMAT KEEP CALM AND COME IN</x:v>
      </x:c>
      <x:c r="E794" s="34" t="n">
        <x:v>0</x:v>
      </x:c>
      <x:c r="F794" s="55" t="n">
        <x:v>0</x:v>
      </x:c>
      <x:c r="G794" s="58" t="n">
        <x:f>E793</x:f>
        <x:v>0</x:v>
      </x:c>
      <x:c r="H794" s="58" t="n">
        <x:f>AVERAGE(E790:E793)</x:f>
        <x:v>0</x:v>
      </x:c>
      <x:c r="I794" s="58" t="n">
        <x:f>AVERAGE(E786:E793)</x:f>
        <x:v>0</x:v>
      </x:c>
      <x:c r="J794" s="58" t="str">
        <x:f>IF(G794="","",ABS(E794-G794))</x:f>
      </x:c>
      <x:c r="K794" s="58" t="str">
        <x:f>IF(H794="","",ABS(E794-H794))</x:f>
      </x:c>
      <x:c r="L794" s="58" t="str">
        <x:f>IF(I794="","",ABS(E794-I794))</x:f>
      </x:c>
      <x:c r="M794" s="23" t="str">
        <x:f>IF(B794&gt;44,"Validation","Training")</x:f>
        <x:v>Training</x:v>
      </x:c>
      <x:c r="N794" s="61" t="str">
        <x:f>IF(OR(H794="",E794=0),"",K794/E794)</x:f>
      </x:c>
    </x:row>
    <x:row r="795">
      <x:c r="A795" s="28" t="n">
        <x:v>40588</x:v>
      </x:c>
      <x:c r="B795" s="23" t="n">
        <x:v>11</x:v>
      </x:c>
      <x:c r="C795" s="23" t="str">
        <x:v>23284</x:v>
      </x:c>
      <x:c r="D795" s="23" t="str">
        <x:v>DOORMAT KEEP CALM AND COME IN</x:v>
      </x:c>
      <x:c r="E795" s="34" t="n">
        <x:v>0</x:v>
      </x:c>
      <x:c r="F795" s="55" t="n">
        <x:v>0</x:v>
      </x:c>
      <x:c r="G795" s="58" t="n">
        <x:f>E794</x:f>
        <x:v>0</x:v>
      </x:c>
      <x:c r="H795" s="58" t="n">
        <x:f>AVERAGE(E791:E794)</x:f>
        <x:v>0</x:v>
      </x:c>
      <x:c r="I795" s="58" t="n">
        <x:f>AVERAGE(E787:E794)</x:f>
        <x:v>0</x:v>
      </x:c>
      <x:c r="J795" s="58" t="str">
        <x:f>IF(G795="","",ABS(E795-G795))</x:f>
      </x:c>
      <x:c r="K795" s="58" t="str">
        <x:f>IF(H795="","",ABS(E795-H795))</x:f>
      </x:c>
      <x:c r="L795" s="58" t="str">
        <x:f>IF(I795="","",ABS(E795-I795))</x:f>
      </x:c>
      <x:c r="M795" s="23" t="str">
        <x:f>IF(B795&gt;44,"Validation","Training")</x:f>
        <x:v>Training</x:v>
      </x:c>
      <x:c r="N795" s="61" t="str">
        <x:f>IF(OR(H795="",E795=0),"",K795/E795)</x:f>
      </x:c>
    </x:row>
    <x:row r="796">
      <x:c r="A796" s="28" t="n">
        <x:v>40595</x:v>
      </x:c>
      <x:c r="B796" s="23" t="n">
        <x:v>12</x:v>
      </x:c>
      <x:c r="C796" s="23" t="str">
        <x:v>23284</x:v>
      </x:c>
      <x:c r="D796" s="23" t="str">
        <x:v>DOORMAT KEEP CALM AND COME IN</x:v>
      </x:c>
      <x:c r="E796" s="34" t="n">
        <x:v>0</x:v>
      </x:c>
      <x:c r="F796" s="55" t="n">
        <x:v>0</x:v>
      </x:c>
      <x:c r="G796" s="58" t="n">
        <x:f>E795</x:f>
        <x:v>0</x:v>
      </x:c>
      <x:c r="H796" s="58" t="n">
        <x:f>AVERAGE(E792:E795)</x:f>
        <x:v>0</x:v>
      </x:c>
      <x:c r="I796" s="58" t="n">
        <x:f>AVERAGE(E788:E795)</x:f>
        <x:v>0</x:v>
      </x:c>
      <x:c r="J796" s="58" t="str">
        <x:f>IF(G796="","",ABS(E796-G796))</x:f>
      </x:c>
      <x:c r="K796" s="58" t="str">
        <x:f>IF(H796="","",ABS(E796-H796))</x:f>
      </x:c>
      <x:c r="L796" s="58" t="str">
        <x:f>IF(I796="","",ABS(E796-I796))</x:f>
      </x:c>
      <x:c r="M796" s="23" t="str">
        <x:f>IF(B796&gt;44,"Validation","Training")</x:f>
        <x:v>Training</x:v>
      </x:c>
      <x:c r="N796" s="61" t="str">
        <x:f>IF(OR(H796="",E796=0),"",K796/E796)</x:f>
      </x:c>
    </x:row>
    <x:row r="797">
      <x:c r="A797" s="28" t="n">
        <x:v>40602</x:v>
      </x:c>
      <x:c r="B797" s="23" t="n">
        <x:v>13</x:v>
      </x:c>
      <x:c r="C797" s="23" t="str">
        <x:v>23284</x:v>
      </x:c>
      <x:c r="D797" s="23" t="str">
        <x:v>DOORMAT KEEP CALM AND COME IN</x:v>
      </x:c>
      <x:c r="E797" s="34" t="n">
        <x:v>0</x:v>
      </x:c>
      <x:c r="F797" s="55" t="n">
        <x:v>0</x:v>
      </x:c>
      <x:c r="G797" s="58" t="n">
        <x:f>E796</x:f>
        <x:v>0</x:v>
      </x:c>
      <x:c r="H797" s="58" t="n">
        <x:f>AVERAGE(E793:E796)</x:f>
        <x:v>0</x:v>
      </x:c>
      <x:c r="I797" s="58" t="n">
        <x:f>AVERAGE(E789:E796)</x:f>
        <x:v>0</x:v>
      </x:c>
      <x:c r="J797" s="58" t="str">
        <x:f>IF(G797="","",ABS(E797-G797))</x:f>
      </x:c>
      <x:c r="K797" s="58" t="str">
        <x:f>IF(H797="","",ABS(E797-H797))</x:f>
      </x:c>
      <x:c r="L797" s="58" t="str">
        <x:f>IF(I797="","",ABS(E797-I797))</x:f>
      </x:c>
      <x:c r="M797" s="23" t="str">
        <x:f>IF(B797&gt;44,"Validation","Training")</x:f>
        <x:v>Training</x:v>
      </x:c>
      <x:c r="N797" s="61" t="str">
        <x:f>IF(OR(H797="",E797=0),"",K797/E797)</x:f>
      </x:c>
    </x:row>
    <x:row r="798">
      <x:c r="A798" s="28" t="n">
        <x:v>40609</x:v>
      </x:c>
      <x:c r="B798" s="23" t="n">
        <x:v>14</x:v>
      </x:c>
      <x:c r="C798" s="23" t="str">
        <x:v>23284</x:v>
      </x:c>
      <x:c r="D798" s="23" t="str">
        <x:v>DOORMAT KEEP CALM AND COME IN</x:v>
      </x:c>
      <x:c r="E798" s="34" t="n">
        <x:v>0</x:v>
      </x:c>
      <x:c r="F798" s="55" t="n">
        <x:v>0</x:v>
      </x:c>
      <x:c r="G798" s="58" t="n">
        <x:f>E797</x:f>
        <x:v>0</x:v>
      </x:c>
      <x:c r="H798" s="58" t="n">
        <x:f>AVERAGE(E794:E797)</x:f>
        <x:v>0</x:v>
      </x:c>
      <x:c r="I798" s="58" t="n">
        <x:f>AVERAGE(E790:E797)</x:f>
        <x:v>0</x:v>
      </x:c>
      <x:c r="J798" s="58" t="str">
        <x:f>IF(G798="","",ABS(E798-G798))</x:f>
      </x:c>
      <x:c r="K798" s="58" t="str">
        <x:f>IF(H798="","",ABS(E798-H798))</x:f>
      </x:c>
      <x:c r="L798" s="58" t="str">
        <x:f>IF(I798="","",ABS(E798-I798))</x:f>
      </x:c>
      <x:c r="M798" s="23" t="str">
        <x:f>IF(B798&gt;44,"Validation","Training")</x:f>
        <x:v>Training</x:v>
      </x:c>
      <x:c r="N798" s="61" t="str">
        <x:f>IF(OR(H798="",E798=0),"",K798/E798)</x:f>
      </x:c>
    </x:row>
    <x:row r="799">
      <x:c r="A799" s="28" t="n">
        <x:v>40616</x:v>
      </x:c>
      <x:c r="B799" s="23" t="n">
        <x:v>15</x:v>
      </x:c>
      <x:c r="C799" s="23" t="str">
        <x:v>23284</x:v>
      </x:c>
      <x:c r="D799" s="23" t="str">
        <x:v>DOORMAT KEEP CALM AND COME IN</x:v>
      </x:c>
      <x:c r="E799" s="34" t="n">
        <x:v>0</x:v>
      </x:c>
      <x:c r="F799" s="55" t="n">
        <x:v>0</x:v>
      </x:c>
      <x:c r="G799" s="58" t="n">
        <x:f>E798</x:f>
        <x:v>0</x:v>
      </x:c>
      <x:c r="H799" s="58" t="n">
        <x:f>AVERAGE(E795:E798)</x:f>
        <x:v>0</x:v>
      </x:c>
      <x:c r="I799" s="58" t="n">
        <x:f>AVERAGE(E791:E798)</x:f>
        <x:v>0</x:v>
      </x:c>
      <x:c r="J799" s="58" t="str">
        <x:f>IF(G799="","",ABS(E799-G799))</x:f>
      </x:c>
      <x:c r="K799" s="58" t="str">
        <x:f>IF(H799="","",ABS(E799-H799))</x:f>
      </x:c>
      <x:c r="L799" s="58" t="str">
        <x:f>IF(I799="","",ABS(E799-I799))</x:f>
      </x:c>
      <x:c r="M799" s="23" t="str">
        <x:f>IF(B799&gt;44,"Validation","Training")</x:f>
        <x:v>Training</x:v>
      </x:c>
      <x:c r="N799" s="61" t="str">
        <x:f>IF(OR(H799="",E799=0),"",K799/E799)</x:f>
      </x:c>
    </x:row>
    <x:row r="800">
      <x:c r="A800" s="28" t="n">
        <x:v>40623</x:v>
      </x:c>
      <x:c r="B800" s="23" t="n">
        <x:v>16</x:v>
      </x:c>
      <x:c r="C800" s="23" t="str">
        <x:v>23284</x:v>
      </x:c>
      <x:c r="D800" s="23" t="str">
        <x:v>DOORMAT KEEP CALM AND COME IN</x:v>
      </x:c>
      <x:c r="E800" s="34" t="n">
        <x:v>0</x:v>
      </x:c>
      <x:c r="F800" s="55" t="n">
        <x:v>0</x:v>
      </x:c>
      <x:c r="G800" s="58" t="n">
        <x:f>E799</x:f>
        <x:v>0</x:v>
      </x:c>
      <x:c r="H800" s="58" t="n">
        <x:f>AVERAGE(E796:E799)</x:f>
        <x:v>0</x:v>
      </x:c>
      <x:c r="I800" s="58" t="n">
        <x:f>AVERAGE(E792:E799)</x:f>
        <x:v>0</x:v>
      </x:c>
      <x:c r="J800" s="58" t="str">
        <x:f>IF(G800="","",ABS(E800-G800))</x:f>
      </x:c>
      <x:c r="K800" s="58" t="str">
        <x:f>IF(H800="","",ABS(E800-H800))</x:f>
      </x:c>
      <x:c r="L800" s="58" t="str">
        <x:f>IF(I800="","",ABS(E800-I800))</x:f>
      </x:c>
      <x:c r="M800" s="23" t="str">
        <x:f>IF(B800&gt;44,"Validation","Training")</x:f>
        <x:v>Training</x:v>
      </x:c>
      <x:c r="N800" s="61" t="str">
        <x:f>IF(OR(H800="",E800=0),"",K800/E800)</x:f>
      </x:c>
    </x:row>
    <x:row r="801">
      <x:c r="A801" s="28" t="n">
        <x:v>40630</x:v>
      </x:c>
      <x:c r="B801" s="23" t="n">
        <x:v>17</x:v>
      </x:c>
      <x:c r="C801" s="23" t="str">
        <x:v>23284</x:v>
      </x:c>
      <x:c r="D801" s="23" t="str">
        <x:v>DOORMAT KEEP CALM AND COME IN</x:v>
      </x:c>
      <x:c r="E801" s="34" t="n">
        <x:v>0</x:v>
      </x:c>
      <x:c r="F801" s="55" t="n">
        <x:v>0</x:v>
      </x:c>
      <x:c r="G801" s="58" t="n">
        <x:f>E800</x:f>
        <x:v>0</x:v>
      </x:c>
      <x:c r="H801" s="58" t="n">
        <x:f>AVERAGE(E797:E800)</x:f>
        <x:v>0</x:v>
      </x:c>
      <x:c r="I801" s="58" t="n">
        <x:f>AVERAGE(E793:E800)</x:f>
        <x:v>0</x:v>
      </x:c>
      <x:c r="J801" s="58" t="str">
        <x:f>IF(G801="","",ABS(E801-G801))</x:f>
      </x:c>
      <x:c r="K801" s="58" t="str">
        <x:f>IF(H801="","",ABS(E801-H801))</x:f>
      </x:c>
      <x:c r="L801" s="58" t="str">
        <x:f>IF(I801="","",ABS(E801-I801))</x:f>
      </x:c>
      <x:c r="M801" s="23" t="str">
        <x:f>IF(B801&gt;44,"Validation","Training")</x:f>
        <x:v>Training</x:v>
      </x:c>
      <x:c r="N801" s="61" t="str">
        <x:f>IF(OR(H801="",E801=0),"",K801/E801)</x:f>
      </x:c>
    </x:row>
    <x:row r="802">
      <x:c r="A802" s="28" t="n">
        <x:v>40637</x:v>
      </x:c>
      <x:c r="B802" s="23" t="n">
        <x:v>18</x:v>
      </x:c>
      <x:c r="C802" s="23" t="str">
        <x:v>23284</x:v>
      </x:c>
      <x:c r="D802" s="23" t="str">
        <x:v>DOORMAT KEEP CALM AND COME IN</x:v>
      </x:c>
      <x:c r="E802" s="34" t="n">
        <x:v>0</x:v>
      </x:c>
      <x:c r="F802" s="55" t="n">
        <x:v>0</x:v>
      </x:c>
      <x:c r="G802" s="58" t="n">
        <x:f>E801</x:f>
        <x:v>0</x:v>
      </x:c>
      <x:c r="H802" s="58" t="n">
        <x:f>AVERAGE(E798:E801)</x:f>
        <x:v>0</x:v>
      </x:c>
      <x:c r="I802" s="58" t="n">
        <x:f>AVERAGE(E794:E801)</x:f>
        <x:v>0</x:v>
      </x:c>
      <x:c r="J802" s="58" t="str">
        <x:f>IF(G802="","",ABS(E802-G802))</x:f>
      </x:c>
      <x:c r="K802" s="58" t="str">
        <x:f>IF(H802="","",ABS(E802-H802))</x:f>
      </x:c>
      <x:c r="L802" s="58" t="str">
        <x:f>IF(I802="","",ABS(E802-I802))</x:f>
      </x:c>
      <x:c r="M802" s="23" t="str">
        <x:f>IF(B802&gt;44,"Validation","Training")</x:f>
        <x:v>Training</x:v>
      </x:c>
      <x:c r="N802" s="61" t="str">
        <x:f>IF(OR(H802="",E802=0),"",K802/E802)</x:f>
      </x:c>
    </x:row>
    <x:row r="803">
      <x:c r="A803" s="28" t="n">
        <x:v>40644</x:v>
      </x:c>
      <x:c r="B803" s="23" t="n">
        <x:v>19</x:v>
      </x:c>
      <x:c r="C803" s="23" t="str">
        <x:v>23284</x:v>
      </x:c>
      <x:c r="D803" s="23" t="str">
        <x:v>DOORMAT KEEP CALM AND COME IN</x:v>
      </x:c>
      <x:c r="E803" s="34" t="n">
        <x:v>0</x:v>
      </x:c>
      <x:c r="F803" s="55" t="n">
        <x:v>0</x:v>
      </x:c>
      <x:c r="G803" s="58" t="n">
        <x:f>E802</x:f>
        <x:v>0</x:v>
      </x:c>
      <x:c r="H803" s="58" t="n">
        <x:f>AVERAGE(E799:E802)</x:f>
        <x:v>0</x:v>
      </x:c>
      <x:c r="I803" s="58" t="n">
        <x:f>AVERAGE(E795:E802)</x:f>
        <x:v>0</x:v>
      </x:c>
      <x:c r="J803" s="58" t="str">
        <x:f>IF(G803="","",ABS(E803-G803))</x:f>
      </x:c>
      <x:c r="K803" s="58" t="str">
        <x:f>IF(H803="","",ABS(E803-H803))</x:f>
      </x:c>
      <x:c r="L803" s="58" t="str">
        <x:f>IF(I803="","",ABS(E803-I803))</x:f>
      </x:c>
      <x:c r="M803" s="23" t="str">
        <x:f>IF(B803&gt;44,"Validation","Training")</x:f>
        <x:v>Training</x:v>
      </x:c>
      <x:c r="N803" s="61" t="str">
        <x:f>IF(OR(H803="",E803=0),"",K803/E803)</x:f>
      </x:c>
    </x:row>
    <x:row r="804">
      <x:c r="A804" s="28" t="n">
        <x:v>40651</x:v>
      </x:c>
      <x:c r="B804" s="23" t="n">
        <x:v>20</x:v>
      </x:c>
      <x:c r="C804" s="23" t="str">
        <x:v>23284</x:v>
      </x:c>
      <x:c r="D804" s="23" t="str">
        <x:v>DOORMAT KEEP CALM AND COME IN</x:v>
      </x:c>
      <x:c r="E804" s="34" t="n">
        <x:v>0</x:v>
      </x:c>
      <x:c r="F804" s="55" t="n">
        <x:v>0</x:v>
      </x:c>
      <x:c r="G804" s="58" t="n">
        <x:f>E803</x:f>
        <x:v>0</x:v>
      </x:c>
      <x:c r="H804" s="58" t="n">
        <x:f>AVERAGE(E800:E803)</x:f>
        <x:v>0</x:v>
      </x:c>
      <x:c r="I804" s="58" t="n">
        <x:f>AVERAGE(E796:E803)</x:f>
        <x:v>0</x:v>
      </x:c>
      <x:c r="J804" s="58" t="str">
        <x:f>IF(G804="","",ABS(E804-G804))</x:f>
      </x:c>
      <x:c r="K804" s="58" t="str">
        <x:f>IF(H804="","",ABS(E804-H804))</x:f>
      </x:c>
      <x:c r="L804" s="58" t="str">
        <x:f>IF(I804="","",ABS(E804-I804))</x:f>
      </x:c>
      <x:c r="M804" s="23" t="str">
        <x:f>IF(B804&gt;44,"Validation","Training")</x:f>
        <x:v>Training</x:v>
      </x:c>
      <x:c r="N804" s="61" t="str">
        <x:f>IF(OR(H804="",E804=0),"",K804/E804)</x:f>
      </x:c>
    </x:row>
    <x:row r="805">
      <x:c r="A805" s="28" t="n">
        <x:v>40658</x:v>
      </x:c>
      <x:c r="B805" s="23" t="n">
        <x:v>21</x:v>
      </x:c>
      <x:c r="C805" s="23" t="str">
        <x:v>23284</x:v>
      </x:c>
      <x:c r="D805" s="23" t="str">
        <x:v>DOORMAT KEEP CALM AND COME IN</x:v>
      </x:c>
      <x:c r="E805" s="34" t="n">
        <x:v>32</x:v>
      </x:c>
      <x:c r="F805" s="55" t="n">
        <x:v>223.2</x:v>
      </x:c>
      <x:c r="G805" s="58" t="n">
        <x:f>E804</x:f>
        <x:v>0</x:v>
      </x:c>
      <x:c r="H805" s="58" t="n">
        <x:f>AVERAGE(E801:E804)</x:f>
        <x:v>0</x:v>
      </x:c>
      <x:c r="I805" s="58" t="n">
        <x:f>AVERAGE(E797:E804)</x:f>
        <x:v>0</x:v>
      </x:c>
      <x:c r="J805" s="58" t="str">
        <x:f>IF(G805="","",ABS(E805-G805))</x:f>
      </x:c>
      <x:c r="K805" s="58" t="str">
        <x:f>IF(H805="","",ABS(E805-H805))</x:f>
      </x:c>
      <x:c r="L805" s="58" t="str">
        <x:f>IF(I805="","",ABS(E805-I805))</x:f>
      </x:c>
      <x:c r="M805" s="23" t="str">
        <x:f>IF(B805&gt;44,"Validation","Training")</x:f>
        <x:v>Training</x:v>
      </x:c>
      <x:c r="N805" s="61" t="str">
        <x:f>IF(OR(H805="",E805=0),"",K805/E805)</x:f>
      </x:c>
    </x:row>
    <x:row r="806">
      <x:c r="A806" s="28" t="n">
        <x:v>40665</x:v>
      </x:c>
      <x:c r="B806" s="23" t="n">
        <x:v>22</x:v>
      </x:c>
      <x:c r="C806" s="23" t="str">
        <x:v>23284</x:v>
      </x:c>
      <x:c r="D806" s="23" t="str">
        <x:v>DOORMAT KEEP CALM AND COME IN</x:v>
      </x:c>
      <x:c r="E806" s="34" t="n">
        <x:v>156</x:v>
      </x:c>
      <x:c r="F806" s="55" t="n">
        <x:v>1151.56</x:v>
      </x:c>
      <x:c r="G806" s="58" t="n">
        <x:f>E805</x:f>
        <x:v>32</x:v>
      </x:c>
      <x:c r="H806" s="58" t="n">
        <x:f>AVERAGE(E802:E805)</x:f>
        <x:v>8</x:v>
      </x:c>
      <x:c r="I806" s="58" t="n">
        <x:f>AVERAGE(E798:E805)</x:f>
        <x:v>4</x:v>
      </x:c>
      <x:c r="J806" s="58" t="n">
        <x:f>IF(G806="","",ABS(E806-G806))</x:f>
        <x:v>124</x:v>
      </x:c>
      <x:c r="K806" s="58" t="n">
        <x:f>IF(H806="","",ABS(E806-H806))</x:f>
        <x:v>148</x:v>
      </x:c>
      <x:c r="L806" s="58" t="n">
        <x:f>IF(I806="","",ABS(E806-I806))</x:f>
        <x:v>152</x:v>
      </x:c>
      <x:c r="M806" s="23" t="str">
        <x:f>IF(B806&gt;44,"Validation","Training")</x:f>
        <x:v>Training</x:v>
      </x:c>
      <x:c r="N806" s="61" t="n">
        <x:f>IF(OR(H806="",E806=0),"",K806/E806)</x:f>
        <x:v>0.9487179487179487</x:v>
      </x:c>
    </x:row>
    <x:row r="807">
      <x:c r="A807" s="28" t="n">
        <x:v>40672</x:v>
      </x:c>
      <x:c r="B807" s="23" t="n">
        <x:v>23</x:v>
      </x:c>
      <x:c r="C807" s="23" t="str">
        <x:v>23284</x:v>
      </x:c>
      <x:c r="D807" s="23" t="str">
        <x:v>DOORMAT KEEP CALM AND COME IN</x:v>
      </x:c>
      <x:c r="E807" s="34" t="n">
        <x:v>201</x:v>
      </x:c>
      <x:c r="F807" s="55" t="n">
        <x:v>1469.15</x:v>
      </x:c>
      <x:c r="G807" s="58" t="n">
        <x:f>E806</x:f>
        <x:v>156</x:v>
      </x:c>
      <x:c r="H807" s="58" t="n">
        <x:f>AVERAGE(E803:E806)</x:f>
        <x:v>47</x:v>
      </x:c>
      <x:c r="I807" s="58" t="n">
        <x:f>AVERAGE(E799:E806)</x:f>
        <x:v>23.5</x:v>
      </x:c>
      <x:c r="J807" s="58" t="n">
        <x:f>IF(G807="","",ABS(E807-G807))</x:f>
        <x:v>45</x:v>
      </x:c>
      <x:c r="K807" s="58" t="n">
        <x:f>IF(H807="","",ABS(E807-H807))</x:f>
        <x:v>154</x:v>
      </x:c>
      <x:c r="L807" s="58" t="n">
        <x:f>IF(I807="","",ABS(E807-I807))</x:f>
        <x:v>177.5</x:v>
      </x:c>
      <x:c r="M807" s="23" t="str">
        <x:f>IF(B807&gt;44,"Validation","Training")</x:f>
        <x:v>Training</x:v>
      </x:c>
      <x:c r="N807" s="61" t="n">
        <x:f>IF(OR(H807="",E807=0),"",K807/E807)</x:f>
        <x:v>0.7661691542288557</x:v>
      </x:c>
    </x:row>
    <x:row r="808">
      <x:c r="A808" s="28" t="n">
        <x:v>40679</x:v>
      </x:c>
      <x:c r="B808" s="23" t="n">
        <x:v>24</x:v>
      </x:c>
      <x:c r="C808" s="23" t="str">
        <x:v>23284</x:v>
      </x:c>
      <x:c r="D808" s="23" t="str">
        <x:v>DOORMAT KEEP CALM AND COME IN</x:v>
      </x:c>
      <x:c r="E808" s="34" t="n">
        <x:v>421</x:v>
      </x:c>
      <x:c r="F808" s="55" t="n">
        <x:v>2508.63</x:v>
      </x:c>
      <x:c r="G808" s="58" t="n">
        <x:f>E807</x:f>
        <x:v>201</x:v>
      </x:c>
      <x:c r="H808" s="58" t="n">
        <x:f>AVERAGE(E804:E807)</x:f>
        <x:v>97.25</x:v>
      </x:c>
      <x:c r="I808" s="58" t="n">
        <x:f>AVERAGE(E800:E807)</x:f>
        <x:v>48.625</x:v>
      </x:c>
      <x:c r="J808" s="58" t="n">
        <x:f>IF(G808="","",ABS(E808-G808))</x:f>
        <x:v>220</x:v>
      </x:c>
      <x:c r="K808" s="58" t="n">
        <x:f>IF(H808="","",ABS(E808-H808))</x:f>
        <x:v>323.75</x:v>
      </x:c>
      <x:c r="L808" s="58" t="n">
        <x:f>IF(I808="","",ABS(E808-I808))</x:f>
        <x:v>372.375</x:v>
      </x:c>
      <x:c r="M808" s="23" t="str">
        <x:f>IF(B808&gt;44,"Validation","Training")</x:f>
        <x:v>Training</x:v>
      </x:c>
      <x:c r="N808" s="61" t="n">
        <x:f>IF(OR(H808="",E808=0),"",K808/E808)</x:f>
        <x:v>0.7690023752969121</x:v>
      </x:c>
    </x:row>
    <x:row r="809">
      <x:c r="A809" s="28" t="n">
        <x:v>40686</x:v>
      </x:c>
      <x:c r="B809" s="23" t="n">
        <x:v>25</x:v>
      </x:c>
      <x:c r="C809" s="23" t="str">
        <x:v>23284</x:v>
      </x:c>
      <x:c r="D809" s="23" t="str">
        <x:v>DOORMAT KEEP CALM AND COME IN</x:v>
      </x:c>
      <x:c r="E809" s="34" t="n">
        <x:v>93</x:v>
      </x:c>
      <x:c r="F809" s="55" t="n">
        <x:v>675.19</x:v>
      </x:c>
      <x:c r="G809" s="58" t="n">
        <x:f>E808</x:f>
        <x:v>421</x:v>
      </x:c>
      <x:c r="H809" s="58" t="n">
        <x:f>AVERAGE(E805:E808)</x:f>
        <x:v>202.5</x:v>
      </x:c>
      <x:c r="I809" s="58" t="n">
        <x:f>AVERAGE(E801:E808)</x:f>
        <x:v>101.25</x:v>
      </x:c>
      <x:c r="J809" s="58" t="n">
        <x:f>IF(G809="","",ABS(E809-G809))</x:f>
        <x:v>328</x:v>
      </x:c>
      <x:c r="K809" s="58" t="n">
        <x:f>IF(H809="","",ABS(E809-H809))</x:f>
        <x:v>109.5</x:v>
      </x:c>
      <x:c r="L809" s="58" t="n">
        <x:f>IF(I809="","",ABS(E809-I809))</x:f>
        <x:v>8.25</x:v>
      </x:c>
      <x:c r="M809" s="23" t="str">
        <x:f>IF(B809&gt;44,"Validation","Training")</x:f>
        <x:v>Training</x:v>
      </x:c>
      <x:c r="N809" s="61" t="n">
        <x:f>IF(OR(H809="",E809=0),"",K809/E809)</x:f>
        <x:v>1.1774193548387097</x:v>
      </x:c>
    </x:row>
    <x:row r="810">
      <x:c r="A810" s="28" t="n">
        <x:v>40693</x:v>
      </x:c>
      <x:c r="B810" s="23" t="n">
        <x:v>26</x:v>
      </x:c>
      <x:c r="C810" s="23" t="str">
        <x:v>23284</x:v>
      </x:c>
      <x:c r="D810" s="23" t="str">
        <x:v>DOORMAT KEEP CALM AND COME IN</x:v>
      </x:c>
      <x:c r="E810" s="34" t="n">
        <x:v>79</x:v>
      </x:c>
      <x:c r="F810" s="55" t="n">
        <x:v>636.93</x:v>
      </x:c>
      <x:c r="G810" s="58" t="n">
        <x:f>E809</x:f>
        <x:v>93</x:v>
      </x:c>
      <x:c r="H810" s="58" t="n">
        <x:f>AVERAGE(E806:E809)</x:f>
        <x:v>217.75</x:v>
      </x:c>
      <x:c r="I810" s="58" t="n">
        <x:f>AVERAGE(E802:E809)</x:f>
        <x:v>112.875</x:v>
      </x:c>
      <x:c r="J810" s="58" t="n">
        <x:f>IF(G810="","",ABS(E810-G810))</x:f>
        <x:v>14</x:v>
      </x:c>
      <x:c r="K810" s="58" t="n">
        <x:f>IF(H810="","",ABS(E810-H810))</x:f>
        <x:v>138.75</x:v>
      </x:c>
      <x:c r="L810" s="58" t="n">
        <x:f>IF(I810="","",ABS(E810-I810))</x:f>
        <x:v>33.875</x:v>
      </x:c>
      <x:c r="M810" s="23" t="str">
        <x:f>IF(B810&gt;44,"Validation","Training")</x:f>
        <x:v>Training</x:v>
      </x:c>
      <x:c r="N810" s="61" t="n">
        <x:f>IF(OR(H810="",E810=0),"",K810/E810)</x:f>
        <x:v>1.7563291139240507</x:v>
      </x:c>
    </x:row>
    <x:row r="811">
      <x:c r="A811" s="28" t="n">
        <x:v>40700</x:v>
      </x:c>
      <x:c r="B811" s="23" t="n">
        <x:v>27</x:v>
      </x:c>
      <x:c r="C811" s="23" t="str">
        <x:v>23284</x:v>
      </x:c>
      <x:c r="D811" s="23" t="str">
        <x:v>DOORMAT KEEP CALM AND COME IN</x:v>
      </x:c>
      <x:c r="E811" s="34" t="n">
        <x:v>563</x:v>
      </x:c>
      <x:c r="F811" s="55" t="n">
        <x:v>2800.73</x:v>
      </x:c>
      <x:c r="G811" s="58" t="n">
        <x:f>E810</x:f>
        <x:v>79</x:v>
      </x:c>
      <x:c r="H811" s="58" t="n">
        <x:f>AVERAGE(E807:E810)</x:f>
        <x:v>198.5</x:v>
      </x:c>
      <x:c r="I811" s="58" t="n">
        <x:f>AVERAGE(E803:E810)</x:f>
        <x:v>122.75</x:v>
      </x:c>
      <x:c r="J811" s="58" t="n">
        <x:f>IF(G811="","",ABS(E811-G811))</x:f>
        <x:v>484</x:v>
      </x:c>
      <x:c r="K811" s="58" t="n">
        <x:f>IF(H811="","",ABS(E811-H811))</x:f>
        <x:v>364.5</x:v>
      </x:c>
      <x:c r="L811" s="58" t="n">
        <x:f>IF(I811="","",ABS(E811-I811))</x:f>
        <x:v>440.25</x:v>
      </x:c>
      <x:c r="M811" s="23" t="str">
        <x:f>IF(B811&gt;44,"Validation","Training")</x:f>
        <x:v>Training</x:v>
      </x:c>
      <x:c r="N811" s="61" t="n">
        <x:f>IF(OR(H811="",E811=0),"",K811/E811)</x:f>
        <x:v>0.6474245115452931</x:v>
      </x:c>
    </x:row>
    <x:row r="812">
      <x:c r="A812" s="28" t="n">
        <x:v>40707</x:v>
      </x:c>
      <x:c r="B812" s="23" t="n">
        <x:v>28</x:v>
      </x:c>
      <x:c r="C812" s="23" t="str">
        <x:v>23284</x:v>
      </x:c>
      <x:c r="D812" s="23" t="str">
        <x:v>DOORMAT KEEP CALM AND COME IN</x:v>
      </x:c>
      <x:c r="E812" s="34" t="n">
        <x:v>105</x:v>
      </x:c>
      <x:c r="F812" s="55" t="n">
        <x:v>770.59</x:v>
      </x:c>
      <x:c r="G812" s="58" t="n">
        <x:f>E811</x:f>
        <x:v>563</x:v>
      </x:c>
      <x:c r="H812" s="58" t="n">
        <x:f>AVERAGE(E808:E811)</x:f>
        <x:v>289</x:v>
      </x:c>
      <x:c r="I812" s="58" t="n">
        <x:f>AVERAGE(E804:E811)</x:f>
        <x:v>193.125</x:v>
      </x:c>
      <x:c r="J812" s="58" t="n">
        <x:f>IF(G812="","",ABS(E812-G812))</x:f>
        <x:v>458</x:v>
      </x:c>
      <x:c r="K812" s="58" t="n">
        <x:f>IF(H812="","",ABS(E812-H812))</x:f>
        <x:v>184</x:v>
      </x:c>
      <x:c r="L812" s="58" t="n">
        <x:f>IF(I812="","",ABS(E812-I812))</x:f>
        <x:v>88.125</x:v>
      </x:c>
      <x:c r="M812" s="23" t="str">
        <x:f>IF(B812&gt;44,"Validation","Training")</x:f>
        <x:v>Training</x:v>
      </x:c>
      <x:c r="N812" s="61" t="n">
        <x:f>IF(OR(H812="",E812=0),"",K812/E812)</x:f>
        <x:v>1.7523809523809524</x:v>
      </x:c>
    </x:row>
    <x:row r="813">
      <x:c r="A813" s="28" t="n">
        <x:v>40714</x:v>
      </x:c>
      <x:c r="B813" s="23" t="n">
        <x:v>29</x:v>
      </x:c>
      <x:c r="C813" s="23" t="str">
        <x:v>23284</x:v>
      </x:c>
      <x:c r="D813" s="23" t="str">
        <x:v>DOORMAT KEEP CALM AND COME IN</x:v>
      </x:c>
      <x:c r="E813" s="34" t="n">
        <x:v>76</x:v>
      </x:c>
      <x:c r="F813" s="55" t="n">
        <x:v>576.88</x:v>
      </x:c>
      <x:c r="G813" s="58" t="n">
        <x:f>E812</x:f>
        <x:v>105</x:v>
      </x:c>
      <x:c r="H813" s="58" t="n">
        <x:f>AVERAGE(E809:E812)</x:f>
        <x:v>210</x:v>
      </x:c>
      <x:c r="I813" s="58" t="n">
        <x:f>AVERAGE(E805:E812)</x:f>
        <x:v>206.25</x:v>
      </x:c>
      <x:c r="J813" s="58" t="n">
        <x:f>IF(G813="","",ABS(E813-G813))</x:f>
        <x:v>29</x:v>
      </x:c>
      <x:c r="K813" s="58" t="n">
        <x:f>IF(H813="","",ABS(E813-H813))</x:f>
        <x:v>134</x:v>
      </x:c>
      <x:c r="L813" s="58" t="n">
        <x:f>IF(I813="","",ABS(E813-I813))</x:f>
        <x:v>130.25</x:v>
      </x:c>
      <x:c r="M813" s="23" t="str">
        <x:f>IF(B813&gt;44,"Validation","Training")</x:f>
        <x:v>Training</x:v>
      </x:c>
      <x:c r="N813" s="61" t="n">
        <x:f>IF(OR(H813="",E813=0),"",K813/E813)</x:f>
        <x:v>1.763157894736842</x:v>
      </x:c>
    </x:row>
    <x:row r="814">
      <x:c r="A814" s="28" t="n">
        <x:v>40721</x:v>
      </x:c>
      <x:c r="B814" s="23" t="n">
        <x:v>30</x:v>
      </x:c>
      <x:c r="C814" s="23" t="str">
        <x:v>23284</x:v>
      </x:c>
      <x:c r="D814" s="23" t="str">
        <x:v>DOORMAT KEEP CALM AND COME IN</x:v>
      </x:c>
      <x:c r="E814" s="34" t="n">
        <x:v>32</x:v>
      </x:c>
      <x:c r="F814" s="55" t="n">
        <x:v>254.4</x:v>
      </x:c>
      <x:c r="G814" s="58" t="n">
        <x:f>E813</x:f>
        <x:v>76</x:v>
      </x:c>
      <x:c r="H814" s="58" t="n">
        <x:f>AVERAGE(E810:E813)</x:f>
        <x:v>205.75</x:v>
      </x:c>
      <x:c r="I814" s="58" t="n">
        <x:f>AVERAGE(E806:E813)</x:f>
        <x:v>211.75</x:v>
      </x:c>
      <x:c r="J814" s="58" t="n">
        <x:f>IF(G814="","",ABS(E814-G814))</x:f>
        <x:v>44</x:v>
      </x:c>
      <x:c r="K814" s="58" t="n">
        <x:f>IF(H814="","",ABS(E814-H814))</x:f>
        <x:v>173.75</x:v>
      </x:c>
      <x:c r="L814" s="58" t="n">
        <x:f>IF(I814="","",ABS(E814-I814))</x:f>
        <x:v>179.75</x:v>
      </x:c>
      <x:c r="M814" s="23" t="str">
        <x:f>IF(B814&gt;44,"Validation","Training")</x:f>
        <x:v>Training</x:v>
      </x:c>
      <x:c r="N814" s="61" t="n">
        <x:f>IF(OR(H814="",E814=0),"",K814/E814)</x:f>
        <x:v>5.4296875</x:v>
      </x:c>
    </x:row>
    <x:row r="815">
      <x:c r="A815" s="28" t="n">
        <x:v>40728</x:v>
      </x:c>
      <x:c r="B815" s="23" t="n">
        <x:v>31</x:v>
      </x:c>
      <x:c r="C815" s="23" t="str">
        <x:v>23284</x:v>
      </x:c>
      <x:c r="D815" s="23" t="str">
        <x:v>DOORMAT KEEP CALM AND COME IN</x:v>
      </x:c>
      <x:c r="E815" s="34" t="n">
        <x:v>123</x:v>
      </x:c>
      <x:c r="F815" s="55" t="n">
        <x:v>914.89</x:v>
      </x:c>
      <x:c r="G815" s="58" t="n">
        <x:f>E814</x:f>
        <x:v>32</x:v>
      </x:c>
      <x:c r="H815" s="58" t="n">
        <x:f>AVERAGE(E811:E814)</x:f>
        <x:v>194</x:v>
      </x:c>
      <x:c r="I815" s="58" t="n">
        <x:f>AVERAGE(E807:E814)</x:f>
        <x:v>196.25</x:v>
      </x:c>
      <x:c r="J815" s="58" t="n">
        <x:f>IF(G815="","",ABS(E815-G815))</x:f>
        <x:v>91</x:v>
      </x:c>
      <x:c r="K815" s="58" t="n">
        <x:f>IF(H815="","",ABS(E815-H815))</x:f>
        <x:v>71</x:v>
      </x:c>
      <x:c r="L815" s="58" t="n">
        <x:f>IF(I815="","",ABS(E815-I815))</x:f>
        <x:v>73.25</x:v>
      </x:c>
      <x:c r="M815" s="23" t="str">
        <x:f>IF(B815&gt;44,"Validation","Training")</x:f>
        <x:v>Training</x:v>
      </x:c>
      <x:c r="N815" s="61" t="n">
        <x:f>IF(OR(H815="",E815=0),"",K815/E815)</x:f>
        <x:v>0.5772357723577236</x:v>
      </x:c>
    </x:row>
    <x:row r="816">
      <x:c r="A816" s="28" t="n">
        <x:v>40735</x:v>
      </x:c>
      <x:c r="B816" s="23" t="n">
        <x:v>32</x:v>
      </x:c>
      <x:c r="C816" s="23" t="str">
        <x:v>23284</x:v>
      </x:c>
      <x:c r="D816" s="23" t="str">
        <x:v>DOORMAT KEEP CALM AND COME IN</x:v>
      </x:c>
      <x:c r="E816" s="34" t="n">
        <x:v>117</x:v>
      </x:c>
      <x:c r="F816" s="55" t="n">
        <x:v>872.19</x:v>
      </x:c>
      <x:c r="G816" s="58" t="n">
        <x:f>E815</x:f>
        <x:v>123</x:v>
      </x:c>
      <x:c r="H816" s="58" t="n">
        <x:f>AVERAGE(E812:E815)</x:f>
        <x:v>84</x:v>
      </x:c>
      <x:c r="I816" s="58" t="n">
        <x:f>AVERAGE(E808:E815)</x:f>
        <x:v>186.5</x:v>
      </x:c>
      <x:c r="J816" s="58" t="n">
        <x:f>IF(G816="","",ABS(E816-G816))</x:f>
        <x:v>6</x:v>
      </x:c>
      <x:c r="K816" s="58" t="n">
        <x:f>IF(H816="","",ABS(E816-H816))</x:f>
        <x:v>33</x:v>
      </x:c>
      <x:c r="L816" s="58" t="n">
        <x:f>IF(I816="","",ABS(E816-I816))</x:f>
        <x:v>69.5</x:v>
      </x:c>
      <x:c r="M816" s="23" t="str">
        <x:f>IF(B816&gt;44,"Validation","Training")</x:f>
        <x:v>Training</x:v>
      </x:c>
      <x:c r="N816" s="61" t="n">
        <x:f>IF(OR(H816="",E816=0),"",K816/E816)</x:f>
        <x:v>0.28205128205128205</x:v>
      </x:c>
    </x:row>
    <x:row r="817">
      <x:c r="A817" s="28" t="n">
        <x:v>40742</x:v>
      </x:c>
      <x:c r="B817" s="23" t="n">
        <x:v>33</x:v>
      </x:c>
      <x:c r="C817" s="23" t="str">
        <x:v>23284</x:v>
      </x:c>
      <x:c r="D817" s="23" t="str">
        <x:v>DOORMAT KEEP CALM AND COME IN</x:v>
      </x:c>
      <x:c r="E817" s="34" t="n">
        <x:v>232</x:v>
      </x:c>
      <x:c r="F817" s="55" t="n">
        <x:v>1624.24</x:v>
      </x:c>
      <x:c r="G817" s="58" t="n">
        <x:f>E816</x:f>
        <x:v>117</x:v>
      </x:c>
      <x:c r="H817" s="58" t="n">
        <x:f>AVERAGE(E813:E816)</x:f>
        <x:v>87</x:v>
      </x:c>
      <x:c r="I817" s="58" t="n">
        <x:f>AVERAGE(E809:E816)</x:f>
        <x:v>148.5</x:v>
      </x:c>
      <x:c r="J817" s="58" t="n">
        <x:f>IF(G817="","",ABS(E817-G817))</x:f>
        <x:v>115</x:v>
      </x:c>
      <x:c r="K817" s="58" t="n">
        <x:f>IF(H817="","",ABS(E817-H817))</x:f>
        <x:v>145</x:v>
      </x:c>
      <x:c r="L817" s="58" t="n">
        <x:f>IF(I817="","",ABS(E817-I817))</x:f>
        <x:v>83.5</x:v>
      </x:c>
      <x:c r="M817" s="23" t="str">
        <x:f>IF(B817&gt;44,"Validation","Training")</x:f>
        <x:v>Training</x:v>
      </x:c>
      <x:c r="N817" s="61" t="n">
        <x:f>IF(OR(H817="",E817=0),"",K817/E817)</x:f>
        <x:v>0.625</x:v>
      </x:c>
    </x:row>
    <x:row r="818">
      <x:c r="A818" s="28" t="n">
        <x:v>40749</x:v>
      </x:c>
      <x:c r="B818" s="23" t="n">
        <x:v>34</x:v>
      </x:c>
      <x:c r="C818" s="23" t="str">
        <x:v>23284</x:v>
      </x:c>
      <x:c r="D818" s="23" t="str">
        <x:v>DOORMAT KEEP CALM AND COME IN</x:v>
      </x:c>
      <x:c r="E818" s="34" t="n">
        <x:v>55</x:v>
      </x:c>
      <x:c r="F818" s="55" t="n">
        <x:v>398.85</x:v>
      </x:c>
      <x:c r="G818" s="58" t="n">
        <x:f>E817</x:f>
        <x:v>232</x:v>
      </x:c>
      <x:c r="H818" s="58" t="n">
        <x:f>AVERAGE(E814:E817)</x:f>
        <x:v>126</x:v>
      </x:c>
      <x:c r="I818" s="58" t="n">
        <x:f>AVERAGE(E810:E817)</x:f>
        <x:v>165.875</x:v>
      </x:c>
      <x:c r="J818" s="58" t="n">
        <x:f>IF(G818="","",ABS(E818-G818))</x:f>
        <x:v>177</x:v>
      </x:c>
      <x:c r="K818" s="58" t="n">
        <x:f>IF(H818="","",ABS(E818-H818))</x:f>
        <x:v>71</x:v>
      </x:c>
      <x:c r="L818" s="58" t="n">
        <x:f>IF(I818="","",ABS(E818-I818))</x:f>
        <x:v>110.875</x:v>
      </x:c>
      <x:c r="M818" s="23" t="str">
        <x:f>IF(B818&gt;44,"Validation","Training")</x:f>
        <x:v>Training</x:v>
      </x:c>
      <x:c r="N818" s="61" t="n">
        <x:f>IF(OR(H818="",E818=0),"",K818/E818)</x:f>
        <x:v>1.290909090909091</x:v>
      </x:c>
    </x:row>
    <x:row r="819">
      <x:c r="A819" s="28" t="n">
        <x:v>40756</x:v>
      </x:c>
      <x:c r="B819" s="23" t="n">
        <x:v>35</x:v>
      </x:c>
      <x:c r="C819" s="23" t="str">
        <x:v>23284</x:v>
      </x:c>
      <x:c r="D819" s="23" t="str">
        <x:v>DOORMAT KEEP CALM AND COME IN</x:v>
      </x:c>
      <x:c r="E819" s="34" t="n">
        <x:v>0</x:v>
      </x:c>
      <x:c r="F819" s="55" t="n">
        <x:v>0</x:v>
      </x:c>
      <x:c r="G819" s="58" t="n">
        <x:f>E818</x:f>
        <x:v>55</x:v>
      </x:c>
      <x:c r="H819" s="58" t="n">
        <x:f>AVERAGE(E815:E818)</x:f>
        <x:v>131.75</x:v>
      </x:c>
      <x:c r="I819" s="58" t="n">
        <x:f>AVERAGE(E811:E818)</x:f>
        <x:v>162.875</x:v>
      </x:c>
      <x:c r="J819" s="58" t="n">
        <x:f>IF(G819="","",ABS(E819-G819))</x:f>
        <x:v>55</x:v>
      </x:c>
      <x:c r="K819" s="58" t="n">
        <x:f>IF(H819="","",ABS(E819-H819))</x:f>
        <x:v>131.75</x:v>
      </x:c>
      <x:c r="L819" s="58" t="n">
        <x:f>IF(I819="","",ABS(E819-I819))</x:f>
        <x:v>162.875</x:v>
      </x:c>
      <x:c r="M819" s="23" t="str">
        <x:f>IF(B819&gt;44,"Validation","Training")</x:f>
        <x:v>Training</x:v>
      </x:c>
      <x:c r="N819" s="61" t="str">
        <x:f>IF(OR(H819="",E819=0),"",K819/E819)</x:f>
      </x:c>
    </x:row>
    <x:row r="820">
      <x:c r="A820" s="28" t="n">
        <x:v>40763</x:v>
      </x:c>
      <x:c r="B820" s="23" t="n">
        <x:v>36</x:v>
      </x:c>
      <x:c r="C820" s="23" t="str">
        <x:v>23284</x:v>
      </x:c>
      <x:c r="D820" s="23" t="str">
        <x:v>DOORMAT KEEP CALM AND COME IN</x:v>
      </x:c>
      <x:c r="E820" s="34" t="n">
        <x:v>7</x:v>
      </x:c>
      <x:c r="F820" s="55" t="n">
        <x:v>110.53</x:v>
      </x:c>
      <x:c r="G820" s="58" t="n">
        <x:f>E819</x:f>
        <x:v>0</x:v>
      </x:c>
      <x:c r="H820" s="58" t="n">
        <x:f>AVERAGE(E816:E819)</x:f>
        <x:v>101</x:v>
      </x:c>
      <x:c r="I820" s="58" t="n">
        <x:f>AVERAGE(E812:E819)</x:f>
        <x:v>92.5</x:v>
      </x:c>
      <x:c r="J820" s="58" t="str">
        <x:f>IF(G820="","",ABS(E820-G820))</x:f>
      </x:c>
      <x:c r="K820" s="58" t="n">
        <x:f>IF(H820="","",ABS(E820-H820))</x:f>
        <x:v>94</x:v>
      </x:c>
      <x:c r="L820" s="58" t="n">
        <x:f>IF(I820="","",ABS(E820-I820))</x:f>
        <x:v>85.5</x:v>
      </x:c>
      <x:c r="M820" s="23" t="str">
        <x:f>IF(B820&gt;44,"Validation","Training")</x:f>
        <x:v>Training</x:v>
      </x:c>
      <x:c r="N820" s="61" t="n">
        <x:f>IF(OR(H820="",E820=0),"",K820/E820)</x:f>
        <x:v>13.428571428571429</x:v>
      </x:c>
    </x:row>
    <x:row r="821">
      <x:c r="A821" s="28" t="n">
        <x:v>40770</x:v>
      </x:c>
      <x:c r="B821" s="23" t="n">
        <x:v>37</x:v>
      </x:c>
      <x:c r="C821" s="23" t="str">
        <x:v>23284</x:v>
      </x:c>
      <x:c r="D821" s="23" t="str">
        <x:v>DOORMAT KEEP CALM AND COME IN</x:v>
      </x:c>
      <x:c r="E821" s="34" t="n">
        <x:v>0</x:v>
      </x:c>
      <x:c r="F821" s="55" t="n">
        <x:v>0</x:v>
      </x:c>
      <x:c r="G821" s="58" t="n">
        <x:f>E820</x:f>
        <x:v>7</x:v>
      </x:c>
      <x:c r="H821" s="58" t="n">
        <x:f>AVERAGE(E817:E820)</x:f>
        <x:v>73.5</x:v>
      </x:c>
      <x:c r="I821" s="58" t="n">
        <x:f>AVERAGE(E813:E820)</x:f>
        <x:v>80.25</x:v>
      </x:c>
      <x:c r="J821" s="58" t="n">
        <x:f>IF(G821="","",ABS(E821-G821))</x:f>
        <x:v>7</x:v>
      </x:c>
      <x:c r="K821" s="58" t="n">
        <x:f>IF(H821="","",ABS(E821-H821))</x:f>
        <x:v>73.5</x:v>
      </x:c>
      <x:c r="L821" s="58" t="n">
        <x:f>IF(I821="","",ABS(E821-I821))</x:f>
        <x:v>80.25</x:v>
      </x:c>
      <x:c r="M821" s="23" t="str">
        <x:f>IF(B821&gt;44,"Validation","Training")</x:f>
        <x:v>Training</x:v>
      </x:c>
      <x:c r="N821" s="61" t="str">
        <x:f>IF(OR(H821="",E821=0),"",K821/E821)</x:f>
      </x:c>
    </x:row>
    <x:row r="822">
      <x:c r="A822" s="28" t="n">
        <x:v>40777</x:v>
      </x:c>
      <x:c r="B822" s="23" t="n">
        <x:v>38</x:v>
      </x:c>
      <x:c r="C822" s="23" t="str">
        <x:v>23284</x:v>
      </x:c>
      <x:c r="D822" s="23" t="str">
        <x:v>DOORMAT KEEP CALM AND COME IN</x:v>
      </x:c>
      <x:c r="E822" s="34" t="n">
        <x:v>1</x:v>
      </x:c>
      <x:c r="F822" s="55" t="n">
        <x:v>7.95</x:v>
      </x:c>
      <x:c r="G822" s="58" t="n">
        <x:f>E821</x:f>
        <x:v>0</x:v>
      </x:c>
      <x:c r="H822" s="58" t="n">
        <x:f>AVERAGE(E818:E821)</x:f>
        <x:v>15.5</x:v>
      </x:c>
      <x:c r="I822" s="58" t="n">
        <x:f>AVERAGE(E814:E821)</x:f>
        <x:v>70.75</x:v>
      </x:c>
      <x:c r="J822" s="58" t="str">
        <x:f>IF(G822="","",ABS(E822-G822))</x:f>
      </x:c>
      <x:c r="K822" s="58" t="n">
        <x:f>IF(H822="","",ABS(E822-H822))</x:f>
        <x:v>14.5</x:v>
      </x:c>
      <x:c r="L822" s="58" t="n">
        <x:f>IF(I822="","",ABS(E822-I822))</x:f>
        <x:v>69.75</x:v>
      </x:c>
      <x:c r="M822" s="23" t="str">
        <x:f>IF(B822&gt;44,"Validation","Training")</x:f>
        <x:v>Training</x:v>
      </x:c>
      <x:c r="N822" s="61" t="n">
        <x:f>IF(OR(H822="",E822=0),"",K822/E822)</x:f>
        <x:v>14.5</x:v>
      </x:c>
    </x:row>
    <x:row r="823">
      <x:c r="A823" s="28" t="n">
        <x:v>40784</x:v>
      </x:c>
      <x:c r="B823" s="23" t="n">
        <x:v>39</x:v>
      </x:c>
      <x:c r="C823" s="23" t="str">
        <x:v>23284</x:v>
      </x:c>
      <x:c r="D823" s="23" t="str">
        <x:v>DOORMAT KEEP CALM AND COME IN</x:v>
      </x:c>
      <x:c r="E823" s="34" t="n">
        <x:v>0</x:v>
      </x:c>
      <x:c r="F823" s="55" t="n">
        <x:v>0</x:v>
      </x:c>
      <x:c r="G823" s="58" t="n">
        <x:f>E822</x:f>
        <x:v>1</x:v>
      </x:c>
      <x:c r="H823" s="58" t="n">
        <x:f>AVERAGE(E819:E822)</x:f>
        <x:v>2</x:v>
      </x:c>
      <x:c r="I823" s="58" t="n">
        <x:f>AVERAGE(E815:E822)</x:f>
        <x:v>66.875</x:v>
      </x:c>
      <x:c r="J823" s="58" t="n">
        <x:f>IF(G823="","",ABS(E823-G823))</x:f>
        <x:v>1</x:v>
      </x:c>
      <x:c r="K823" s="58" t="n">
        <x:f>IF(H823="","",ABS(E823-H823))</x:f>
        <x:v>2</x:v>
      </x:c>
      <x:c r="L823" s="58" t="n">
        <x:f>IF(I823="","",ABS(E823-I823))</x:f>
        <x:v>66.875</x:v>
      </x:c>
      <x:c r="M823" s="23" t="str">
        <x:f>IF(B823&gt;44,"Validation","Training")</x:f>
        <x:v>Training</x:v>
      </x:c>
      <x:c r="N823" s="61" t="str">
        <x:f>IF(OR(H823="",E823=0),"",K823/E823)</x:f>
      </x:c>
    </x:row>
    <x:row r="824">
      <x:c r="A824" s="28" t="n">
        <x:v>40791</x:v>
      </x:c>
      <x:c r="B824" s="23" t="n">
        <x:v>40</x:v>
      </x:c>
      <x:c r="C824" s="23" t="str">
        <x:v>23284</x:v>
      </x:c>
      <x:c r="D824" s="23" t="str">
        <x:v>DOORMAT KEEP CALM AND COME IN</x:v>
      </x:c>
      <x:c r="E824" s="34" t="n">
        <x:v>0</x:v>
      </x:c>
      <x:c r="F824" s="55" t="n">
        <x:v>0</x:v>
      </x:c>
      <x:c r="G824" s="58" t="n">
        <x:f>E823</x:f>
        <x:v>0</x:v>
      </x:c>
      <x:c r="H824" s="58" t="n">
        <x:f>AVERAGE(E820:E823)</x:f>
        <x:v>2</x:v>
      </x:c>
      <x:c r="I824" s="58" t="n">
        <x:f>AVERAGE(E816:E823)</x:f>
        <x:v>51.5</x:v>
      </x:c>
      <x:c r="J824" s="58" t="str">
        <x:f>IF(G824="","",ABS(E824-G824))</x:f>
      </x:c>
      <x:c r="K824" s="58" t="n">
        <x:f>IF(H824="","",ABS(E824-H824))</x:f>
        <x:v>2</x:v>
      </x:c>
      <x:c r="L824" s="58" t="n">
        <x:f>IF(I824="","",ABS(E824-I824))</x:f>
        <x:v>51.5</x:v>
      </x:c>
      <x:c r="M824" s="23" t="str">
        <x:f>IF(B824&gt;44,"Validation","Training")</x:f>
        <x:v>Training</x:v>
      </x:c>
      <x:c r="N824" s="61" t="str">
        <x:f>IF(OR(H824="",E824=0),"",K824/E824)</x:f>
      </x:c>
    </x:row>
    <x:row r="825">
      <x:c r="A825" s="28" t="n">
        <x:v>40798</x:v>
      </x:c>
      <x:c r="B825" s="23" t="n">
        <x:v>41</x:v>
      </x:c>
      <x:c r="C825" s="23" t="str">
        <x:v>23284</x:v>
      </x:c>
      <x:c r="D825" s="23" t="str">
        <x:v>DOORMAT KEEP CALM AND COME IN</x:v>
      </x:c>
      <x:c r="E825" s="34" t="n">
        <x:v>0</x:v>
      </x:c>
      <x:c r="F825" s="55" t="n">
        <x:v>0</x:v>
      </x:c>
      <x:c r="G825" s="58" t="n">
        <x:f>E824</x:f>
        <x:v>0</x:v>
      </x:c>
      <x:c r="H825" s="58" t="n">
        <x:f>AVERAGE(E821:E824)</x:f>
        <x:v>0.25</x:v>
      </x:c>
      <x:c r="I825" s="58" t="n">
        <x:f>AVERAGE(E817:E824)</x:f>
        <x:v>36.875</x:v>
      </x:c>
      <x:c r="J825" s="58" t="str">
        <x:f>IF(G825="","",ABS(E825-G825))</x:f>
      </x:c>
      <x:c r="K825" s="58" t="n">
        <x:f>IF(H825="","",ABS(E825-H825))</x:f>
        <x:v>0.25</x:v>
      </x:c>
      <x:c r="L825" s="58" t="n">
        <x:f>IF(I825="","",ABS(E825-I825))</x:f>
        <x:v>36.875</x:v>
      </x:c>
      <x:c r="M825" s="23" t="str">
        <x:f>IF(B825&gt;44,"Validation","Training")</x:f>
        <x:v>Training</x:v>
      </x:c>
      <x:c r="N825" s="61" t="str">
        <x:f>IF(OR(H825="",E825=0),"",K825/E825)</x:f>
      </x:c>
    </x:row>
    <x:row r="826">
      <x:c r="A826" s="28" t="n">
        <x:v>40805</x:v>
      </x:c>
      <x:c r="B826" s="23" t="n">
        <x:v>42</x:v>
      </x:c>
      <x:c r="C826" s="23" t="str">
        <x:v>23284</x:v>
      </x:c>
      <x:c r="D826" s="23" t="str">
        <x:v>DOORMAT KEEP CALM AND COME IN</x:v>
      </x:c>
      <x:c r="E826" s="34" t="n">
        <x:v>5</x:v>
      </x:c>
      <x:c r="F826" s="55" t="n">
        <x:v>41.25</x:v>
      </x:c>
      <x:c r="G826" s="58" t="n">
        <x:f>E825</x:f>
        <x:v>0</x:v>
      </x:c>
      <x:c r="H826" s="58" t="n">
        <x:f>AVERAGE(E822:E825)</x:f>
        <x:v>0.25</x:v>
      </x:c>
      <x:c r="I826" s="58" t="n">
        <x:f>AVERAGE(E818:E825)</x:f>
        <x:v>7.875</x:v>
      </x:c>
      <x:c r="J826" s="58" t="str">
        <x:f>IF(G826="","",ABS(E826-G826))</x:f>
      </x:c>
      <x:c r="K826" s="58" t="n">
        <x:f>IF(H826="","",ABS(E826-H826))</x:f>
        <x:v>4.75</x:v>
      </x:c>
      <x:c r="L826" s="58" t="n">
        <x:f>IF(I826="","",ABS(E826-I826))</x:f>
        <x:v>2.875</x:v>
      </x:c>
      <x:c r="M826" s="23" t="str">
        <x:f>IF(B826&gt;44,"Validation","Training")</x:f>
        <x:v>Training</x:v>
      </x:c>
      <x:c r="N826" s="61" t="n">
        <x:f>IF(OR(H826="",E826=0),"",K826/E826)</x:f>
        <x:v>0.95</x:v>
      </x:c>
    </x:row>
    <x:row r="827">
      <x:c r="A827" s="28" t="n">
        <x:v>40812</x:v>
      </x:c>
      <x:c r="B827" s="23" t="n">
        <x:v>43</x:v>
      </x:c>
      <x:c r="C827" s="23" t="str">
        <x:v>23284</x:v>
      </x:c>
      <x:c r="D827" s="23" t="str">
        <x:v>DOORMAT KEEP CALM AND COME IN</x:v>
      </x:c>
      <x:c r="E827" s="34" t="n">
        <x:v>803</x:v>
      </x:c>
      <x:c r="F827" s="55" t="n">
        <x:v>4514.88</x:v>
      </x:c>
      <x:c r="G827" s="58" t="n">
        <x:f>E826</x:f>
        <x:v>5</x:v>
      </x:c>
      <x:c r="H827" s="58" t="n">
        <x:f>AVERAGE(E823:E826)</x:f>
        <x:v>1.25</x:v>
      </x:c>
      <x:c r="I827" s="58" t="n">
        <x:f>AVERAGE(E819:E826)</x:f>
        <x:v>1.625</x:v>
      </x:c>
      <x:c r="J827" s="58" t="n">
        <x:f>IF(G827="","",ABS(E827-G827))</x:f>
        <x:v>798</x:v>
      </x:c>
      <x:c r="K827" s="58" t="n">
        <x:f>IF(H827="","",ABS(E827-H827))</x:f>
        <x:v>801.75</x:v>
      </x:c>
      <x:c r="L827" s="58" t="n">
        <x:f>IF(I827="","",ABS(E827-I827))</x:f>
        <x:v>801.375</x:v>
      </x:c>
      <x:c r="M827" s="23" t="str">
        <x:f>IF(B827&gt;44,"Validation","Training")</x:f>
        <x:v>Training</x:v>
      </x:c>
      <x:c r="N827" s="61" t="n">
        <x:f>IF(OR(H827="",E827=0),"",K827/E827)</x:f>
        <x:v>0.9984433374844334</x:v>
      </x:c>
    </x:row>
    <x:row r="828">
      <x:c r="A828" s="28" t="n">
        <x:v>40819</x:v>
      </x:c>
      <x:c r="B828" s="23" t="n">
        <x:v>44</x:v>
      </x:c>
      <x:c r="C828" s="23" t="str">
        <x:v>23284</x:v>
      </x:c>
      <x:c r="D828" s="23" t="str">
        <x:v>DOORMAT KEEP CALM AND COME IN</x:v>
      </x:c>
      <x:c r="E828" s="34" t="n">
        <x:v>844</x:v>
      </x:c>
      <x:c r="F828" s="55" t="n">
        <x:v>6105.84</x:v>
      </x:c>
      <x:c r="G828" s="58" t="n">
        <x:f>E827</x:f>
        <x:v>803</x:v>
      </x:c>
      <x:c r="H828" s="58" t="n">
        <x:f>AVERAGE(E824:E827)</x:f>
        <x:v>202</x:v>
      </x:c>
      <x:c r="I828" s="58" t="n">
        <x:f>AVERAGE(E820:E827)</x:f>
        <x:v>102</x:v>
      </x:c>
      <x:c r="J828" s="58" t="n">
        <x:f>IF(G828="","",ABS(E828-G828))</x:f>
        <x:v>41</x:v>
      </x:c>
      <x:c r="K828" s="58" t="n">
        <x:f>IF(H828="","",ABS(E828-H828))</x:f>
        <x:v>642</x:v>
      </x:c>
      <x:c r="L828" s="58" t="n">
        <x:f>IF(I828="","",ABS(E828-I828))</x:f>
        <x:v>742</x:v>
      </x:c>
      <x:c r="M828" s="23" t="str">
        <x:f>IF(B828&gt;44,"Validation","Training")</x:f>
        <x:v>Training</x:v>
      </x:c>
      <x:c r="N828" s="61" t="n">
        <x:f>IF(OR(H828="",E828=0),"",K828/E828)</x:f>
        <x:v>0.7606635071090048</x:v>
      </x:c>
    </x:row>
    <x:row r="829">
      <x:c r="A829" s="28" t="n">
        <x:v>40826</x:v>
      </x:c>
      <x:c r="B829" s="23" t="n">
        <x:v>45</x:v>
      </x:c>
      <x:c r="C829" s="23" t="str">
        <x:v>23284</x:v>
      </x:c>
      <x:c r="D829" s="23" t="str">
        <x:v>DOORMAT KEEP CALM AND COME IN</x:v>
      </x:c>
      <x:c r="E829" s="34" t="n">
        <x:v>272</x:v>
      </x:c>
      <x:c r="F829" s="55" t="n">
        <x:v>2068.84</x:v>
      </x:c>
      <x:c r="G829" s="58" t="n">
        <x:f>E828</x:f>
        <x:v>844</x:v>
      </x:c>
      <x:c r="H829" s="58" t="n">
        <x:f>AVERAGE(E825:E828)</x:f>
        <x:v>413</x:v>
      </x:c>
      <x:c r="I829" s="58" t="n">
        <x:f>AVERAGE(E821:E828)</x:f>
        <x:v>206.625</x:v>
      </x:c>
      <x:c r="J829" s="58" t="n">
        <x:f>IF(G829="","",ABS(E829-G829))</x:f>
        <x:v>572</x:v>
      </x:c>
      <x:c r="K829" s="58" t="n">
        <x:f>IF(H829="","",ABS(E829-H829))</x:f>
        <x:v>141</x:v>
      </x:c>
      <x:c r="L829" s="58" t="n">
        <x:f>IF(I829="","",ABS(E829-I829))</x:f>
        <x:v>65.375</x:v>
      </x:c>
      <x:c r="M829" s="23" t="str">
        <x:f>IF(B829&gt;44,"Validation","Training")</x:f>
        <x:v>Validation</x:v>
      </x:c>
      <x:c r="N829" s="61" t="n">
        <x:f>IF(OR(H829="",E829=0),"",K829/E829)</x:f>
        <x:v>0.5183823529411765</x:v>
      </x:c>
    </x:row>
    <x:row r="830">
      <x:c r="A830" s="28" t="n">
        <x:v>40833</x:v>
      </x:c>
      <x:c r="B830" s="23" t="n">
        <x:v>46</x:v>
      </x:c>
      <x:c r="C830" s="23" t="str">
        <x:v>23284</x:v>
      </x:c>
      <x:c r="D830" s="23" t="str">
        <x:v>DOORMAT KEEP CALM AND COME IN</x:v>
      </x:c>
      <x:c r="E830" s="34" t="n">
        <x:v>175</x:v>
      </x:c>
      <x:c r="F830" s="55" t="n">
        <x:v>1356.79</x:v>
      </x:c>
      <x:c r="G830" s="58" t="n">
        <x:f>E829</x:f>
        <x:v>272</x:v>
      </x:c>
      <x:c r="H830" s="58" t="n">
        <x:f>AVERAGE(E826:E829)</x:f>
        <x:v>481</x:v>
      </x:c>
      <x:c r="I830" s="58" t="n">
        <x:f>AVERAGE(E822:E829)</x:f>
        <x:v>240.625</x:v>
      </x:c>
      <x:c r="J830" s="58" t="n">
        <x:f>IF(G830="","",ABS(E830-G830))</x:f>
        <x:v>97</x:v>
      </x:c>
      <x:c r="K830" s="58" t="n">
        <x:f>IF(H830="","",ABS(E830-H830))</x:f>
        <x:v>306</x:v>
      </x:c>
      <x:c r="L830" s="58" t="n">
        <x:f>IF(I830="","",ABS(E830-I830))</x:f>
        <x:v>65.625</x:v>
      </x:c>
      <x:c r="M830" s="23" t="str">
        <x:f>IF(B830&gt;44,"Validation","Training")</x:f>
        <x:v>Validation</x:v>
      </x:c>
      <x:c r="N830" s="61" t="n">
        <x:f>IF(OR(H830="",E830=0),"",K830/E830)</x:f>
        <x:v>1.7485714285714287</x:v>
      </x:c>
    </x:row>
    <x:row r="831">
      <x:c r="A831" s="28" t="n">
        <x:v>40840</x:v>
      </x:c>
      <x:c r="B831" s="23" t="n">
        <x:v>47</x:v>
      </x:c>
      <x:c r="C831" s="23" t="str">
        <x:v>23284</x:v>
      </x:c>
      <x:c r="D831" s="23" t="str">
        <x:v>DOORMAT KEEP CALM AND COME IN</x:v>
      </x:c>
      <x:c r="E831" s="34" t="n">
        <x:v>157</x:v>
      </x:c>
      <x:c r="F831" s="55" t="n">
        <x:v>1234.39</x:v>
      </x:c>
      <x:c r="G831" s="58" t="n">
        <x:f>E830</x:f>
        <x:v>175</x:v>
      </x:c>
      <x:c r="H831" s="58" t="n">
        <x:f>AVERAGE(E827:E830)</x:f>
        <x:v>523.5</x:v>
      </x:c>
      <x:c r="I831" s="58" t="n">
        <x:f>AVERAGE(E823:E830)</x:f>
        <x:v>262.375</x:v>
      </x:c>
      <x:c r="J831" s="58" t="n">
        <x:f>IF(G831="","",ABS(E831-G831))</x:f>
        <x:v>18</x:v>
      </x:c>
      <x:c r="K831" s="58" t="n">
        <x:f>IF(H831="","",ABS(E831-H831))</x:f>
        <x:v>366.5</x:v>
      </x:c>
      <x:c r="L831" s="58" t="n">
        <x:f>IF(I831="","",ABS(E831-I831))</x:f>
        <x:v>105.375</x:v>
      </x:c>
      <x:c r="M831" s="23" t="str">
        <x:f>IF(B831&gt;44,"Validation","Training")</x:f>
        <x:v>Validation</x:v>
      </x:c>
      <x:c r="N831" s="61" t="n">
        <x:f>IF(OR(H831="",E831=0),"",K831/E831)</x:f>
        <x:v>2.3343949044585988</x:v>
      </x:c>
    </x:row>
    <x:row r="832">
      <x:c r="A832" s="28" t="n">
        <x:v>40847</x:v>
      </x:c>
      <x:c r="B832" s="23" t="n">
        <x:v>48</x:v>
      </x:c>
      <x:c r="C832" s="23" t="str">
        <x:v>23284</x:v>
      </x:c>
      <x:c r="D832" s="23" t="str">
        <x:v>DOORMAT KEEP CALM AND COME IN</x:v>
      </x:c>
      <x:c r="E832" s="34" t="n">
        <x:v>178</x:v>
      </x:c>
      <x:c r="F832" s="55" t="n">
        <x:v>1516.52</x:v>
      </x:c>
      <x:c r="G832" s="58" t="n">
        <x:f>E831</x:f>
        <x:v>157</x:v>
      </x:c>
      <x:c r="H832" s="58" t="n">
        <x:f>AVERAGE(E828:E831)</x:f>
        <x:v>362</x:v>
      </x:c>
      <x:c r="I832" s="58" t="n">
        <x:f>AVERAGE(E824:E831)</x:f>
        <x:v>282</x:v>
      </x:c>
      <x:c r="J832" s="58" t="n">
        <x:f>IF(G832="","",ABS(E832-G832))</x:f>
        <x:v>21</x:v>
      </x:c>
      <x:c r="K832" s="58" t="n">
        <x:f>IF(H832="","",ABS(E832-H832))</x:f>
        <x:v>184</x:v>
      </x:c>
      <x:c r="L832" s="58" t="n">
        <x:f>IF(I832="","",ABS(E832-I832))</x:f>
        <x:v>104</x:v>
      </x:c>
      <x:c r="M832" s="23" t="str">
        <x:f>IF(B832&gt;44,"Validation","Training")</x:f>
        <x:v>Validation</x:v>
      </x:c>
      <x:c r="N832" s="61" t="n">
        <x:f>IF(OR(H832="",E832=0),"",K832/E832)</x:f>
        <x:v>1.0337078651685394</x:v>
      </x:c>
    </x:row>
    <x:row r="833">
      <x:c r="A833" s="28" t="n">
        <x:v>40854</x:v>
      </x:c>
      <x:c r="B833" s="23" t="n">
        <x:v>49</x:v>
      </x:c>
      <x:c r="C833" s="23" t="str">
        <x:v>23284</x:v>
      </x:c>
      <x:c r="D833" s="23" t="str">
        <x:v>DOORMAT KEEP CALM AND COME IN</x:v>
      </x:c>
      <x:c r="E833" s="34" t="n">
        <x:v>150</x:v>
      </x:c>
      <x:c r="F833" s="55" t="n">
        <x:v>1296.36</x:v>
      </x:c>
      <x:c r="G833" s="58" t="n">
        <x:f>E832</x:f>
        <x:v>178</x:v>
      </x:c>
      <x:c r="H833" s="58" t="n">
        <x:f>AVERAGE(E829:E832)</x:f>
        <x:v>195.5</x:v>
      </x:c>
      <x:c r="I833" s="58" t="n">
        <x:f>AVERAGE(E825:E832)</x:f>
        <x:v>304.25</x:v>
      </x:c>
      <x:c r="J833" s="58" t="n">
        <x:f>IF(G833="","",ABS(E833-G833))</x:f>
        <x:v>28</x:v>
      </x:c>
      <x:c r="K833" s="58" t="n">
        <x:f>IF(H833="","",ABS(E833-H833))</x:f>
        <x:v>45.5</x:v>
      </x:c>
      <x:c r="L833" s="58" t="n">
        <x:f>IF(I833="","",ABS(E833-I833))</x:f>
        <x:v>154.25</x:v>
      </x:c>
      <x:c r="M833" s="23" t="str">
        <x:f>IF(B833&gt;44,"Validation","Training")</x:f>
        <x:v>Validation</x:v>
      </x:c>
      <x:c r="N833" s="61" t="n">
        <x:f>IF(OR(H833="",E833=0),"",K833/E833)</x:f>
        <x:v>0.30333333333333334</x:v>
      </x:c>
    </x:row>
    <x:row r="834">
      <x:c r="A834" s="28" t="n">
        <x:v>40861</x:v>
      </x:c>
      <x:c r="B834" s="23" t="n">
        <x:v>50</x:v>
      </x:c>
      <x:c r="C834" s="23" t="str">
        <x:v>23284</x:v>
      </x:c>
      <x:c r="D834" s="23" t="str">
        <x:v>DOORMAT KEEP CALM AND COME IN</x:v>
      </x:c>
      <x:c r="E834" s="34" t="n">
        <x:v>161</x:v>
      </x:c>
      <x:c r="F834" s="55" t="n">
        <x:v>1321.45</x:v>
      </x:c>
      <x:c r="G834" s="58" t="n">
        <x:f>E833</x:f>
        <x:v>150</x:v>
      </x:c>
      <x:c r="H834" s="58" t="n">
        <x:f>AVERAGE(E830:E833)</x:f>
        <x:v>165</x:v>
      </x:c>
      <x:c r="I834" s="58" t="n">
        <x:f>AVERAGE(E826:E833)</x:f>
        <x:v>323</x:v>
      </x:c>
      <x:c r="J834" s="58" t="n">
        <x:f>IF(G834="","",ABS(E834-G834))</x:f>
        <x:v>11</x:v>
      </x:c>
      <x:c r="K834" s="58" t="n">
        <x:f>IF(H834="","",ABS(E834-H834))</x:f>
        <x:v>4</x:v>
      </x:c>
      <x:c r="L834" s="58" t="n">
        <x:f>IF(I834="","",ABS(E834-I834))</x:f>
        <x:v>162</x:v>
      </x:c>
      <x:c r="M834" s="23" t="str">
        <x:f>IF(B834&gt;44,"Validation","Training")</x:f>
        <x:v>Validation</x:v>
      </x:c>
      <x:c r="N834" s="61" t="n">
        <x:f>IF(OR(H834="",E834=0),"",K834/E834)</x:f>
        <x:v>0.024844720496894408</x:v>
      </x:c>
    </x:row>
    <x:row r="835">
      <x:c r="A835" s="28" t="n">
        <x:v>40868</x:v>
      </x:c>
      <x:c r="B835" s="23" t="n">
        <x:v>51</x:v>
      </x:c>
      <x:c r="C835" s="23" t="str">
        <x:v>23284</x:v>
      </x:c>
      <x:c r="D835" s="23" t="str">
        <x:v>DOORMAT KEEP CALM AND COME IN</x:v>
      </x:c>
      <x:c r="E835" s="34" t="n">
        <x:v>188</x:v>
      </x:c>
      <x:c r="F835" s="55" t="n">
        <x:v>1485.86</x:v>
      </x:c>
      <x:c r="G835" s="58" t="n">
        <x:f>E834</x:f>
        <x:v>161</x:v>
      </x:c>
      <x:c r="H835" s="58" t="n">
        <x:f>AVERAGE(E831:E834)</x:f>
        <x:v>161.5</x:v>
      </x:c>
      <x:c r="I835" s="58" t="n">
        <x:f>AVERAGE(E827:E834)</x:f>
        <x:v>342.5</x:v>
      </x:c>
      <x:c r="J835" s="58" t="n">
        <x:f>IF(G835="","",ABS(E835-G835))</x:f>
        <x:v>27</x:v>
      </x:c>
      <x:c r="K835" s="58" t="n">
        <x:f>IF(H835="","",ABS(E835-H835))</x:f>
        <x:v>26.5</x:v>
      </x:c>
      <x:c r="L835" s="58" t="n">
        <x:f>IF(I835="","",ABS(E835-I835))</x:f>
        <x:v>154.5</x:v>
      </x:c>
      <x:c r="M835" s="23" t="str">
        <x:f>IF(B835&gt;44,"Validation","Training")</x:f>
        <x:v>Validation</x:v>
      </x:c>
      <x:c r="N835" s="61" t="n">
        <x:f>IF(OR(H835="",E835=0),"",K835/E835)</x:f>
        <x:v>0.14095744680851063</x:v>
      </x:c>
    </x:row>
    <x:row r="836">
      <x:c r="A836" s="28" t="n">
        <x:v>40875</x:v>
      </x:c>
      <x:c r="B836" s="23" t="n">
        <x:v>52</x:v>
      </x:c>
      <x:c r="C836" s="23" t="str">
        <x:v>23284</x:v>
      </x:c>
      <x:c r="D836" s="23" t="str">
        <x:v>DOORMAT KEEP CALM AND COME IN</x:v>
      </x:c>
      <x:c r="E836" s="34" t="n">
        <x:v>141</x:v>
      </x:c>
      <x:c r="F836" s="55" t="n">
        <x:v>1173.51</x:v>
      </x:c>
      <x:c r="G836" s="58" t="n">
        <x:f>E835</x:f>
        <x:v>188</x:v>
      </x:c>
      <x:c r="H836" s="58" t="n">
        <x:f>AVERAGE(E832:E835)</x:f>
        <x:v>169.25</x:v>
      </x:c>
      <x:c r="I836" s="58" t="n">
        <x:f>AVERAGE(E828:E835)</x:f>
        <x:v>265.625</x:v>
      </x:c>
      <x:c r="J836" s="58" t="n">
        <x:f>IF(G836="","",ABS(E836-G836))</x:f>
        <x:v>47</x:v>
      </x:c>
      <x:c r="K836" s="58" t="n">
        <x:f>IF(H836="","",ABS(E836-H836))</x:f>
        <x:v>28.25</x:v>
      </x:c>
      <x:c r="L836" s="58" t="n">
        <x:f>IF(I836="","",ABS(E836-I836))</x:f>
        <x:v>124.625</x:v>
      </x:c>
      <x:c r="M836" s="23" t="str">
        <x:f>IF(B836&gt;44,"Validation","Training")</x:f>
        <x:v>Validation</x:v>
      </x:c>
      <x:c r="N836" s="61" t="n">
        <x:f>IF(OR(H836="",E836=0),"",K836/E836)</x:f>
        <x:v>0.20035460992907803</x:v>
      </x:c>
    </x:row>
    <x:row r="837">
      <x:c r="A837" s="28" t="n">
        <x:v>40518</x:v>
      </x:c>
      <x:c r="B837" s="23" t="n">
        <x:v>1</x:v>
      </x:c>
      <x:c r="C837" s="23" t="str">
        <x:v>22960</x:v>
      </x:c>
      <x:c r="D837" s="23" t="str">
        <x:v>JAM MAKING SET WITH JARS</x:v>
      </x:c>
      <x:c r="E837" s="34" t="n">
        <x:v>172</x:v>
      </x:c>
      <x:c r="F837" s="55" t="n">
        <x:v>839.6</x:v>
      </x:c>
      <x:c r="G837" s="58" t="str">
        <x:f>""</x:f>
      </x:c>
      <x:c r="H837" s="58" t="str">
        <x:f>""</x:f>
      </x:c>
      <x:c r="I837" s="58" t="str">
        <x:f>""</x:f>
      </x:c>
      <x:c r="J837" s="58" t="str">
        <x:f>IF(G837="","",ABS(E837-G837))</x:f>
      </x:c>
      <x:c r="K837" s="58" t="str">
        <x:f>IF(H837="","",ABS(E837-H837))</x:f>
      </x:c>
      <x:c r="L837" s="58" t="str">
        <x:f>IF(I837="","",ABS(E837-I837))</x:f>
      </x:c>
      <x:c r="M837" s="23" t="str">
        <x:f>IF(B837&gt;44,"Validation","Training")</x:f>
        <x:v>Training</x:v>
      </x:c>
      <x:c r="N837" s="61" t="str">
        <x:f>IF(OR(H837="",E837=0),"",K837/E837)</x:f>
      </x:c>
    </x:row>
    <x:row r="838">
      <x:c r="A838" s="28" t="n">
        <x:v>40525</x:v>
      </x:c>
      <x:c r="B838" s="23" t="n">
        <x:v>2</x:v>
      </x:c>
      <x:c r="C838" s="23" t="str">
        <x:v>22960</x:v>
      </x:c>
      <x:c r="D838" s="23" t="str">
        <x:v>JAM MAKING SET WITH JARS</x:v>
      </x:c>
      <x:c r="E838" s="34" t="n">
        <x:v>249</x:v>
      </x:c>
      <x:c r="F838" s="55" t="n">
        <x:v>1033.99</x:v>
      </x:c>
      <x:c r="G838" s="58" t="n">
        <x:f>E837</x:f>
        <x:v>172</x:v>
      </x:c>
      <x:c r="H838" s="58" t="str">
        <x:f>""</x:f>
      </x:c>
      <x:c r="I838" s="58" t="str">
        <x:f>""</x:f>
      </x:c>
      <x:c r="J838" s="58" t="n">
        <x:f>IF(G838="","",ABS(E838-G838))</x:f>
        <x:v>77</x:v>
      </x:c>
      <x:c r="K838" s="58" t="str">
        <x:f>IF(H838="","",ABS(E838-H838))</x:f>
      </x:c>
      <x:c r="L838" s="58" t="str">
        <x:f>IF(I838="","",ABS(E838-I838))</x:f>
      </x:c>
      <x:c r="M838" s="23" t="str">
        <x:f>IF(B838&gt;44,"Validation","Training")</x:f>
        <x:v>Training</x:v>
      </x:c>
      <x:c r="N838" s="61" t="str">
        <x:f>IF(OR(H838="",E838=0),"",K838/E838)</x:f>
      </x:c>
    </x:row>
    <x:row r="839">
      <x:c r="A839" s="28" t="n">
        <x:v>40532</x:v>
      </x:c>
      <x:c r="B839" s="23" t="n">
        <x:v>3</x:v>
      </x:c>
      <x:c r="C839" s="23" t="str">
        <x:v>22960</x:v>
      </x:c>
      <x:c r="D839" s="23" t="str">
        <x:v>JAM MAKING SET WITH JARS</x:v>
      </x:c>
      <x:c r="E839" s="34" t="n">
        <x:v>40</x:v>
      </x:c>
      <x:c r="F839" s="55" t="n">
        <x:v>233.3</x:v>
      </x:c>
      <x:c r="G839" s="58" t="n">
        <x:f>E838</x:f>
        <x:v>249</x:v>
      </x:c>
      <x:c r="H839" s="58" t="str">
        <x:f>""</x:f>
      </x:c>
      <x:c r="I839" s="58" t="str">
        <x:f>""</x:f>
      </x:c>
      <x:c r="J839" s="58" t="n">
        <x:f>IF(G839="","",ABS(E839-G839))</x:f>
        <x:v>209</x:v>
      </x:c>
      <x:c r="K839" s="58" t="str">
        <x:f>IF(H839="","",ABS(E839-H839))</x:f>
      </x:c>
      <x:c r="L839" s="58" t="str">
        <x:f>IF(I839="","",ABS(E839-I839))</x:f>
      </x:c>
      <x:c r="M839" s="23" t="str">
        <x:f>IF(B839&gt;44,"Validation","Training")</x:f>
        <x:v>Training</x:v>
      </x:c>
      <x:c r="N839" s="61" t="str">
        <x:f>IF(OR(H839="",E839=0),"",K839/E839)</x:f>
      </x:c>
    </x:row>
    <x:row r="840">
      <x:c r="A840" s="28" t="n">
        <x:v>40539</x:v>
      </x:c>
      <x:c r="B840" s="23" t="n">
        <x:v>4</x:v>
      </x:c>
      <x:c r="C840" s="23" t="str">
        <x:v>22960</x:v>
      </x:c>
      <x:c r="D840" s="23" t="str">
        <x:v>JAM MAKING SET WITH JARS</x:v>
      </x:c>
      <x:c r="E840" s="34" t="n">
        <x:v>0</x:v>
      </x:c>
      <x:c r="F840" s="55" t="n">
        <x:v>0</x:v>
      </x:c>
      <x:c r="G840" s="58" t="n">
        <x:f>E839</x:f>
        <x:v>40</x:v>
      </x:c>
      <x:c r="H840" s="58" t="str">
        <x:f>""</x:f>
      </x:c>
      <x:c r="I840" s="58" t="str">
        <x:f>""</x:f>
      </x:c>
      <x:c r="J840" s="58" t="n">
        <x:f>IF(G840="","",ABS(E840-G840))</x:f>
        <x:v>40</x:v>
      </x:c>
      <x:c r="K840" s="58" t="str">
        <x:f>IF(H840="","",ABS(E840-H840))</x:f>
      </x:c>
      <x:c r="L840" s="58" t="str">
        <x:f>IF(I840="","",ABS(E840-I840))</x:f>
      </x:c>
      <x:c r="M840" s="23" t="str">
        <x:f>IF(B840&gt;44,"Validation","Training")</x:f>
        <x:v>Training</x:v>
      </x:c>
      <x:c r="N840" s="61" t="str">
        <x:f>IF(OR(H840="",E840=0),"",K840/E840)</x:f>
      </x:c>
    </x:row>
    <x:row r="841">
      <x:c r="A841" s="28" t="n">
        <x:v>40546</x:v>
      </x:c>
      <x:c r="B841" s="23" t="n">
        <x:v>5</x:v>
      </x:c>
      <x:c r="C841" s="23" t="str">
        <x:v>22960</x:v>
      </x:c>
      <x:c r="D841" s="23" t="str">
        <x:v>JAM MAKING SET WITH JARS</x:v>
      </x:c>
      <x:c r="E841" s="34" t="n">
        <x:v>74</x:v>
      </x:c>
      <x:c r="F841" s="55" t="n">
        <x:v>310.94</x:v>
      </x:c>
      <x:c r="G841" s="58" t="n">
        <x:f>E840</x:f>
        <x:v>0</x:v>
      </x:c>
      <x:c r="H841" s="58" t="n">
        <x:f>AVERAGE(E837:E840)</x:f>
        <x:v>115.25</x:v>
      </x:c>
      <x:c r="I841" s="58" t="str">
        <x:f>""</x:f>
      </x:c>
      <x:c r="J841" s="58" t="str">
        <x:f>IF(G841="","",ABS(E841-G841))</x:f>
      </x:c>
      <x:c r="K841" s="58" t="n">
        <x:f>IF(H841="","",ABS(E841-H841))</x:f>
        <x:v>41.25</x:v>
      </x:c>
      <x:c r="L841" s="58" t="str">
        <x:f>IF(I841="","",ABS(E841-I841))</x:f>
      </x:c>
      <x:c r="M841" s="23" t="str">
        <x:f>IF(B841&gt;44,"Validation","Training")</x:f>
        <x:v>Training</x:v>
      </x:c>
      <x:c r="N841" s="61" t="n">
        <x:f>IF(OR(H841="",E841=0),"",K841/E841)</x:f>
        <x:v>0.5574324324324325</x:v>
      </x:c>
    </x:row>
    <x:row r="842">
      <x:c r="A842" s="28" t="n">
        <x:v>40553</x:v>
      </x:c>
      <x:c r="B842" s="23" t="n">
        <x:v>6</x:v>
      </x:c>
      <x:c r="C842" s="23" t="str">
        <x:v>22960</x:v>
      </x:c>
      <x:c r="D842" s="23" t="str">
        <x:v>JAM MAKING SET WITH JARS</x:v>
      </x:c>
      <x:c r="E842" s="34" t="n">
        <x:v>192</x:v>
      </x:c>
      <x:c r="F842" s="55" t="n">
        <x:v>773.18</x:v>
      </x:c>
      <x:c r="G842" s="58" t="n">
        <x:f>E841</x:f>
        <x:v>74</x:v>
      </x:c>
      <x:c r="H842" s="58" t="n">
        <x:f>AVERAGE(E838:E841)</x:f>
        <x:v>90.75</x:v>
      </x:c>
      <x:c r="I842" s="58" t="str">
        <x:f>""</x:f>
      </x:c>
      <x:c r="J842" s="58" t="n">
        <x:f>IF(G842="","",ABS(E842-G842))</x:f>
        <x:v>118</x:v>
      </x:c>
      <x:c r="K842" s="58" t="n">
        <x:f>IF(H842="","",ABS(E842-H842))</x:f>
        <x:v>101.25</x:v>
      </x:c>
      <x:c r="L842" s="58" t="str">
        <x:f>IF(I842="","",ABS(E842-I842))</x:f>
      </x:c>
      <x:c r="M842" s="23" t="str">
        <x:f>IF(B842&gt;44,"Validation","Training")</x:f>
        <x:v>Training</x:v>
      </x:c>
      <x:c r="N842" s="61" t="n">
        <x:f>IF(OR(H842="",E842=0),"",K842/E842)</x:f>
        <x:v>0.52734375</x:v>
      </x:c>
    </x:row>
    <x:row r="843">
      <x:c r="A843" s="28" t="n">
        <x:v>40560</x:v>
      </x:c>
      <x:c r="B843" s="23" t="n">
        <x:v>7</x:v>
      </x:c>
      <x:c r="C843" s="23" t="str">
        <x:v>22960</x:v>
      </x:c>
      <x:c r="D843" s="23" t="str">
        <x:v>JAM MAKING SET WITH JARS</x:v>
      </x:c>
      <x:c r="E843" s="34" t="n">
        <x:v>213</x:v>
      </x:c>
      <x:c r="F843" s="55" t="n">
        <x:v>891.77</x:v>
      </x:c>
      <x:c r="G843" s="58" t="n">
        <x:f>E842</x:f>
        <x:v>192</x:v>
      </x:c>
      <x:c r="H843" s="58" t="n">
        <x:f>AVERAGE(E839:E842)</x:f>
        <x:v>76.5</x:v>
      </x:c>
      <x:c r="I843" s="58" t="str">
        <x:f>""</x:f>
      </x:c>
      <x:c r="J843" s="58" t="n">
        <x:f>IF(G843="","",ABS(E843-G843))</x:f>
        <x:v>21</x:v>
      </x:c>
      <x:c r="K843" s="58" t="n">
        <x:f>IF(H843="","",ABS(E843-H843))</x:f>
        <x:v>136.5</x:v>
      </x:c>
      <x:c r="L843" s="58" t="str">
        <x:f>IF(I843="","",ABS(E843-I843))</x:f>
      </x:c>
      <x:c r="M843" s="23" t="str">
        <x:f>IF(B843&gt;44,"Validation","Training")</x:f>
        <x:v>Training</x:v>
      </x:c>
      <x:c r="N843" s="61" t="n">
        <x:f>IF(OR(H843="",E843=0),"",K843/E843)</x:f>
        <x:v>0.6408450704225352</x:v>
      </x:c>
    </x:row>
    <x:row r="844">
      <x:c r="A844" s="28" t="n">
        <x:v>40567</x:v>
      </x:c>
      <x:c r="B844" s="23" t="n">
        <x:v>8</x:v>
      </x:c>
      <x:c r="C844" s="23" t="str">
        <x:v>22960</x:v>
      </x:c>
      <x:c r="D844" s="23" t="str">
        <x:v>JAM MAKING SET WITH JARS</x:v>
      </x:c>
      <x:c r="E844" s="34" t="n">
        <x:v>195</x:v>
      </x:c>
      <x:c r="F844" s="55" t="n">
        <x:v>812.95</x:v>
      </x:c>
      <x:c r="G844" s="58" t="n">
        <x:f>E843</x:f>
        <x:v>213</x:v>
      </x:c>
      <x:c r="H844" s="58" t="n">
        <x:f>AVERAGE(E840:E843)</x:f>
        <x:v>119.75</x:v>
      </x:c>
      <x:c r="I844" s="58" t="str">
        <x:f>""</x:f>
      </x:c>
      <x:c r="J844" s="58" t="n">
        <x:f>IF(G844="","",ABS(E844-G844))</x:f>
        <x:v>18</x:v>
      </x:c>
      <x:c r="K844" s="58" t="n">
        <x:f>IF(H844="","",ABS(E844-H844))</x:f>
        <x:v>75.25</x:v>
      </x:c>
      <x:c r="L844" s="58" t="str">
        <x:f>IF(I844="","",ABS(E844-I844))</x:f>
      </x:c>
      <x:c r="M844" s="23" t="str">
        <x:f>IF(B844&gt;44,"Validation","Training")</x:f>
        <x:v>Training</x:v>
      </x:c>
      <x:c r="N844" s="61" t="n">
        <x:f>IF(OR(H844="",E844=0),"",K844/E844)</x:f>
        <x:v>0.3858974358974359</x:v>
      </x:c>
    </x:row>
    <x:row r="845">
      <x:c r="A845" s="28" t="n">
        <x:v>40574</x:v>
      </x:c>
      <x:c r="B845" s="23" t="n">
        <x:v>9</x:v>
      </x:c>
      <x:c r="C845" s="23" t="str">
        <x:v>22960</x:v>
      </x:c>
      <x:c r="D845" s="23" t="str">
        <x:v>JAM MAKING SET WITH JARS</x:v>
      </x:c>
      <x:c r="E845" s="34" t="n">
        <x:v>112</x:v>
      </x:c>
      <x:c r="F845" s="55" t="n">
        <x:v>464.12</x:v>
      </x:c>
      <x:c r="G845" s="58" t="n">
        <x:f>E844</x:f>
        <x:v>195</x:v>
      </x:c>
      <x:c r="H845" s="58" t="n">
        <x:f>AVERAGE(E841:E844)</x:f>
        <x:v>168.5</x:v>
      </x:c>
      <x:c r="I845" s="58" t="n">
        <x:f>AVERAGE(E837:E844)</x:f>
        <x:v>141.875</x:v>
      </x:c>
      <x:c r="J845" s="58" t="n">
        <x:f>IF(G845="","",ABS(E845-G845))</x:f>
        <x:v>83</x:v>
      </x:c>
      <x:c r="K845" s="58" t="n">
        <x:f>IF(H845="","",ABS(E845-H845))</x:f>
        <x:v>56.5</x:v>
      </x:c>
      <x:c r="L845" s="58" t="n">
        <x:f>IF(I845="","",ABS(E845-I845))</x:f>
        <x:v>29.875</x:v>
      </x:c>
      <x:c r="M845" s="23" t="str">
        <x:f>IF(B845&gt;44,"Validation","Training")</x:f>
        <x:v>Training</x:v>
      </x:c>
      <x:c r="N845" s="61" t="n">
        <x:f>IF(OR(H845="",E845=0),"",K845/E845)</x:f>
        <x:v>0.5044642857142857</x:v>
      </x:c>
    </x:row>
    <x:row r="846">
      <x:c r="A846" s="28" t="n">
        <x:v>40581</x:v>
      </x:c>
      <x:c r="B846" s="23" t="n">
        <x:v>10</x:v>
      </x:c>
      <x:c r="C846" s="23" t="str">
        <x:v>22960</x:v>
      </x:c>
      <x:c r="D846" s="23" t="str">
        <x:v>JAM MAKING SET WITH JARS</x:v>
      </x:c>
      <x:c r="E846" s="34" t="n">
        <x:v>91</x:v>
      </x:c>
      <x:c r="F846" s="55" t="n">
        <x:v>388.95</x:v>
      </x:c>
      <x:c r="G846" s="58" t="n">
        <x:f>E845</x:f>
        <x:v>112</x:v>
      </x:c>
      <x:c r="H846" s="58" t="n">
        <x:f>AVERAGE(E842:E845)</x:f>
        <x:v>178</x:v>
      </x:c>
      <x:c r="I846" s="58" t="n">
        <x:f>AVERAGE(E838:E845)</x:f>
        <x:v>134.375</x:v>
      </x:c>
      <x:c r="J846" s="58" t="n">
        <x:f>IF(G846="","",ABS(E846-G846))</x:f>
        <x:v>21</x:v>
      </x:c>
      <x:c r="K846" s="58" t="n">
        <x:f>IF(H846="","",ABS(E846-H846))</x:f>
        <x:v>87</x:v>
      </x:c>
      <x:c r="L846" s="58" t="n">
        <x:f>IF(I846="","",ABS(E846-I846))</x:f>
        <x:v>43.375</x:v>
      </x:c>
      <x:c r="M846" s="23" t="str">
        <x:f>IF(B846&gt;44,"Validation","Training")</x:f>
        <x:v>Training</x:v>
      </x:c>
      <x:c r="N846" s="61" t="n">
        <x:f>IF(OR(H846="",E846=0),"",K846/E846)</x:f>
        <x:v>0.9560439560439561</x:v>
      </x:c>
    </x:row>
    <x:row r="847">
      <x:c r="A847" s="28" t="n">
        <x:v>40588</x:v>
      </x:c>
      <x:c r="B847" s="23" t="n">
        <x:v>11</x:v>
      </x:c>
      <x:c r="C847" s="23" t="str">
        <x:v>22960</x:v>
      </x:c>
      <x:c r="D847" s="23" t="str">
        <x:v>JAM MAKING SET WITH JARS</x:v>
      </x:c>
      <x:c r="E847" s="34" t="n">
        <x:v>342</x:v>
      </x:c>
      <x:c r="F847" s="55" t="n">
        <x:v>1332.7</x:v>
      </x:c>
      <x:c r="G847" s="58" t="n">
        <x:f>E846</x:f>
        <x:v>91</x:v>
      </x:c>
      <x:c r="H847" s="58" t="n">
        <x:f>AVERAGE(E843:E846)</x:f>
        <x:v>152.75</x:v>
      </x:c>
      <x:c r="I847" s="58" t="n">
        <x:f>AVERAGE(E839:E846)</x:f>
        <x:v>114.625</x:v>
      </x:c>
      <x:c r="J847" s="58" t="n">
        <x:f>IF(G847="","",ABS(E847-G847))</x:f>
        <x:v>251</x:v>
      </x:c>
      <x:c r="K847" s="58" t="n">
        <x:f>IF(H847="","",ABS(E847-H847))</x:f>
        <x:v>189.25</x:v>
      </x:c>
      <x:c r="L847" s="58" t="n">
        <x:f>IF(I847="","",ABS(E847-I847))</x:f>
        <x:v>227.375</x:v>
      </x:c>
      <x:c r="M847" s="23" t="str">
        <x:f>IF(B847&gt;44,"Validation","Training")</x:f>
        <x:v>Training</x:v>
      </x:c>
      <x:c r="N847" s="61" t="n">
        <x:f>IF(OR(H847="",E847=0),"",K847/E847)</x:f>
        <x:v>0.5533625730994152</x:v>
      </x:c>
    </x:row>
    <x:row r="848">
      <x:c r="A848" s="28" t="n">
        <x:v>40595</x:v>
      </x:c>
      <x:c r="B848" s="23" t="n">
        <x:v>12</x:v>
      </x:c>
      <x:c r="C848" s="23" t="str">
        <x:v>22960</x:v>
      </x:c>
      <x:c r="D848" s="23" t="str">
        <x:v>JAM MAKING SET WITH JARS</x:v>
      </x:c>
      <x:c r="E848" s="34" t="n">
        <x:v>114</x:v>
      </x:c>
      <x:c r="F848" s="55" t="n">
        <x:v>502.74</x:v>
      </x:c>
      <x:c r="G848" s="58" t="n">
        <x:f>E847</x:f>
        <x:v>342</x:v>
      </x:c>
      <x:c r="H848" s="58" t="n">
        <x:f>AVERAGE(E844:E847)</x:f>
        <x:v>185</x:v>
      </x:c>
      <x:c r="I848" s="58" t="n">
        <x:f>AVERAGE(E840:E847)</x:f>
        <x:v>152.375</x:v>
      </x:c>
      <x:c r="J848" s="58" t="n">
        <x:f>IF(G848="","",ABS(E848-G848))</x:f>
        <x:v>228</x:v>
      </x:c>
      <x:c r="K848" s="58" t="n">
        <x:f>IF(H848="","",ABS(E848-H848))</x:f>
        <x:v>71</x:v>
      </x:c>
      <x:c r="L848" s="58" t="n">
        <x:f>IF(I848="","",ABS(E848-I848))</x:f>
        <x:v>38.375</x:v>
      </x:c>
      <x:c r="M848" s="23" t="str">
        <x:f>IF(B848&gt;44,"Validation","Training")</x:f>
        <x:v>Training</x:v>
      </x:c>
      <x:c r="N848" s="61" t="n">
        <x:f>IF(OR(H848="",E848=0),"",K848/E848)</x:f>
        <x:v>0.6228070175438597</x:v>
      </x:c>
    </x:row>
    <x:row r="849">
      <x:c r="A849" s="28" t="n">
        <x:v>40602</x:v>
      </x:c>
      <x:c r="B849" s="23" t="n">
        <x:v>13</x:v>
      </x:c>
      <x:c r="C849" s="23" t="str">
        <x:v>22960</x:v>
      </x:c>
      <x:c r="D849" s="23" t="str">
        <x:v>JAM MAKING SET WITH JARS</x:v>
      </x:c>
      <x:c r="E849" s="34" t="n">
        <x:v>295</x:v>
      </x:c>
      <x:c r="F849" s="55" t="n">
        <x:v>1186.95</x:v>
      </x:c>
      <x:c r="G849" s="58" t="n">
        <x:f>E848</x:f>
        <x:v>114</x:v>
      </x:c>
      <x:c r="H849" s="58" t="n">
        <x:f>AVERAGE(E845:E848)</x:f>
        <x:v>164.75</x:v>
      </x:c>
      <x:c r="I849" s="58" t="n">
        <x:f>AVERAGE(E841:E848)</x:f>
        <x:v>166.625</x:v>
      </x:c>
      <x:c r="J849" s="58" t="n">
        <x:f>IF(G849="","",ABS(E849-G849))</x:f>
        <x:v>181</x:v>
      </x:c>
      <x:c r="K849" s="58" t="n">
        <x:f>IF(H849="","",ABS(E849-H849))</x:f>
        <x:v>130.25</x:v>
      </x:c>
      <x:c r="L849" s="58" t="n">
        <x:f>IF(I849="","",ABS(E849-I849))</x:f>
        <x:v>128.375</x:v>
      </x:c>
      <x:c r="M849" s="23" t="str">
        <x:f>IF(B849&gt;44,"Validation","Training")</x:f>
        <x:v>Training</x:v>
      </x:c>
      <x:c r="N849" s="61" t="n">
        <x:f>IF(OR(H849="",E849=0),"",K849/E849)</x:f>
        <x:v>0.44152542372881354</x:v>
      </x:c>
    </x:row>
    <x:row r="850">
      <x:c r="A850" s="28" t="n">
        <x:v>40609</x:v>
      </x:c>
      <x:c r="B850" s="23" t="n">
        <x:v>14</x:v>
      </x:c>
      <x:c r="C850" s="23" t="str">
        <x:v>22960</x:v>
      </x:c>
      <x:c r="D850" s="23" t="str">
        <x:v>JAM MAKING SET WITH JARS</x:v>
      </x:c>
      <x:c r="E850" s="34" t="n">
        <x:v>205</x:v>
      </x:c>
      <x:c r="F850" s="55" t="n">
        <x:v>849.69</x:v>
      </x:c>
      <x:c r="G850" s="58" t="n">
        <x:f>E849</x:f>
        <x:v>295</x:v>
      </x:c>
      <x:c r="H850" s="58" t="n">
        <x:f>AVERAGE(E846:E849)</x:f>
        <x:v>210.5</x:v>
      </x:c>
      <x:c r="I850" s="58" t="n">
        <x:f>AVERAGE(E842:E849)</x:f>
        <x:v>194.25</x:v>
      </x:c>
      <x:c r="J850" s="58" t="n">
        <x:f>IF(G850="","",ABS(E850-G850))</x:f>
        <x:v>90</x:v>
      </x:c>
      <x:c r="K850" s="58" t="n">
        <x:f>IF(H850="","",ABS(E850-H850))</x:f>
        <x:v>5.5</x:v>
      </x:c>
      <x:c r="L850" s="58" t="n">
        <x:f>IF(I850="","",ABS(E850-I850))</x:f>
        <x:v>10.75</x:v>
      </x:c>
      <x:c r="M850" s="23" t="str">
        <x:f>IF(B850&gt;44,"Validation","Training")</x:f>
        <x:v>Training</x:v>
      </x:c>
      <x:c r="N850" s="61" t="n">
        <x:f>IF(OR(H850="",E850=0),"",K850/E850)</x:f>
        <x:v>0.026829268292682926</x:v>
      </x:c>
    </x:row>
    <x:row r="851">
      <x:c r="A851" s="28" t="n">
        <x:v>40616</x:v>
      </x:c>
      <x:c r="B851" s="23" t="n">
        <x:v>15</x:v>
      </x:c>
      <x:c r="C851" s="23" t="str">
        <x:v>22960</x:v>
      </x:c>
      <x:c r="D851" s="23" t="str">
        <x:v>JAM MAKING SET WITH JARS</x:v>
      </x:c>
      <x:c r="E851" s="34" t="n">
        <x:v>251</x:v>
      </x:c>
      <x:c r="F851" s="55" t="n">
        <x:v>1000.99</x:v>
      </x:c>
      <x:c r="G851" s="58" t="n">
        <x:f>E850</x:f>
        <x:v>205</x:v>
      </x:c>
      <x:c r="H851" s="58" t="n">
        <x:f>AVERAGE(E847:E850)</x:f>
        <x:v>239</x:v>
      </x:c>
      <x:c r="I851" s="58" t="n">
        <x:f>AVERAGE(E843:E850)</x:f>
        <x:v>195.875</x:v>
      </x:c>
      <x:c r="J851" s="58" t="n">
        <x:f>IF(G851="","",ABS(E851-G851))</x:f>
        <x:v>46</x:v>
      </x:c>
      <x:c r="K851" s="58" t="n">
        <x:f>IF(H851="","",ABS(E851-H851))</x:f>
        <x:v>12</x:v>
      </x:c>
      <x:c r="L851" s="58" t="n">
        <x:f>IF(I851="","",ABS(E851-I851))</x:f>
        <x:v>55.125</x:v>
      </x:c>
      <x:c r="M851" s="23" t="str">
        <x:f>IF(B851&gt;44,"Validation","Training")</x:f>
        <x:v>Training</x:v>
      </x:c>
      <x:c r="N851" s="61" t="n">
        <x:f>IF(OR(H851="",E851=0),"",K851/E851)</x:f>
        <x:v>0.04780876494023904</x:v>
      </x:c>
    </x:row>
    <x:row r="852">
      <x:c r="A852" s="28" t="n">
        <x:v>40623</x:v>
      </x:c>
      <x:c r="B852" s="23" t="n">
        <x:v>16</x:v>
      </x:c>
      <x:c r="C852" s="23" t="str">
        <x:v>22960</x:v>
      </x:c>
      <x:c r="D852" s="23" t="str">
        <x:v>JAM MAKING SET WITH JARS</x:v>
      </x:c>
      <x:c r="E852" s="34" t="n">
        <x:v>205</x:v>
      </x:c>
      <x:c r="F852" s="55" t="n">
        <x:v>855.69</x:v>
      </x:c>
      <x:c r="G852" s="58" t="n">
        <x:f>E851</x:f>
        <x:v>251</x:v>
      </x:c>
      <x:c r="H852" s="58" t="n">
        <x:f>AVERAGE(E848:E851)</x:f>
        <x:v>216.25</x:v>
      </x:c>
      <x:c r="I852" s="58" t="n">
        <x:f>AVERAGE(E844:E851)</x:f>
        <x:v>200.625</x:v>
      </x:c>
      <x:c r="J852" s="58" t="n">
        <x:f>IF(G852="","",ABS(E852-G852))</x:f>
        <x:v>46</x:v>
      </x:c>
      <x:c r="K852" s="58" t="n">
        <x:f>IF(H852="","",ABS(E852-H852))</x:f>
        <x:v>11.25</x:v>
      </x:c>
      <x:c r="L852" s="58" t="n">
        <x:f>IF(I852="","",ABS(E852-I852))</x:f>
        <x:v>4.375</x:v>
      </x:c>
      <x:c r="M852" s="23" t="str">
        <x:f>IF(B852&gt;44,"Validation","Training")</x:f>
        <x:v>Training</x:v>
      </x:c>
      <x:c r="N852" s="61" t="n">
        <x:f>IF(OR(H852="",E852=0),"",K852/E852)</x:f>
        <x:v>0.054878048780487805</x:v>
      </x:c>
    </x:row>
    <x:row r="853">
      <x:c r="A853" s="28" t="n">
        <x:v>40630</x:v>
      </x:c>
      <x:c r="B853" s="23" t="n">
        <x:v>17</x:v>
      </x:c>
      <x:c r="C853" s="23" t="str">
        <x:v>22960</x:v>
      </x:c>
      <x:c r="D853" s="23" t="str">
        <x:v>JAM MAKING SET WITH JARS</x:v>
      </x:c>
      <x:c r="E853" s="34" t="n">
        <x:v>130</x:v>
      </x:c>
      <x:c r="F853" s="55" t="n">
        <x:v>734.16</x:v>
      </x:c>
      <x:c r="G853" s="58" t="n">
        <x:f>E852</x:f>
        <x:v>205</x:v>
      </x:c>
      <x:c r="H853" s="58" t="n">
        <x:f>AVERAGE(E849:E852)</x:f>
        <x:v>239</x:v>
      </x:c>
      <x:c r="I853" s="58" t="n">
        <x:f>AVERAGE(E845:E852)</x:f>
        <x:v>201.875</x:v>
      </x:c>
      <x:c r="J853" s="58" t="n">
        <x:f>IF(G853="","",ABS(E853-G853))</x:f>
        <x:v>75</x:v>
      </x:c>
      <x:c r="K853" s="58" t="n">
        <x:f>IF(H853="","",ABS(E853-H853))</x:f>
        <x:v>109</x:v>
      </x:c>
      <x:c r="L853" s="58" t="n">
        <x:f>IF(I853="","",ABS(E853-I853))</x:f>
        <x:v>71.875</x:v>
      </x:c>
      <x:c r="M853" s="23" t="str">
        <x:f>IF(B853&gt;44,"Validation","Training")</x:f>
        <x:v>Training</x:v>
      </x:c>
      <x:c r="N853" s="61" t="n">
        <x:f>IF(OR(H853="",E853=0),"",K853/E853)</x:f>
        <x:v>0.8384615384615385</x:v>
      </x:c>
    </x:row>
    <x:row r="854">
      <x:c r="A854" s="28" t="n">
        <x:v>40637</x:v>
      </x:c>
      <x:c r="B854" s="23" t="n">
        <x:v>18</x:v>
      </x:c>
      <x:c r="C854" s="23" t="str">
        <x:v>22960</x:v>
      </x:c>
      <x:c r="D854" s="23" t="str">
        <x:v>JAM MAKING SET WITH JARS</x:v>
      </x:c>
      <x:c r="E854" s="34" t="n">
        <x:v>88</x:v>
      </x:c>
      <x:c r="F854" s="55" t="n">
        <x:v>388.2</x:v>
      </x:c>
      <x:c r="G854" s="58" t="n">
        <x:f>E853</x:f>
        <x:v>130</x:v>
      </x:c>
      <x:c r="H854" s="58" t="n">
        <x:f>AVERAGE(E850:E853)</x:f>
        <x:v>197.75</x:v>
      </x:c>
      <x:c r="I854" s="58" t="n">
        <x:f>AVERAGE(E846:E853)</x:f>
        <x:v>204.125</x:v>
      </x:c>
      <x:c r="J854" s="58" t="n">
        <x:f>IF(G854="","",ABS(E854-G854))</x:f>
        <x:v>42</x:v>
      </x:c>
      <x:c r="K854" s="58" t="n">
        <x:f>IF(H854="","",ABS(E854-H854))</x:f>
        <x:v>109.75</x:v>
      </x:c>
      <x:c r="L854" s="58" t="n">
        <x:f>IF(I854="","",ABS(E854-I854))</x:f>
        <x:v>116.125</x:v>
      </x:c>
      <x:c r="M854" s="23" t="str">
        <x:f>IF(B854&gt;44,"Validation","Training")</x:f>
        <x:v>Training</x:v>
      </x:c>
      <x:c r="N854" s="61" t="n">
        <x:f>IF(OR(H854="",E854=0),"",K854/E854)</x:f>
        <x:v>1.2471590909090908</x:v>
      </x:c>
    </x:row>
    <x:row r="855">
      <x:c r="A855" s="28" t="n">
        <x:v>40644</x:v>
      </x:c>
      <x:c r="B855" s="23" t="n">
        <x:v>19</x:v>
      </x:c>
      <x:c r="C855" s="23" t="str">
        <x:v>22960</x:v>
      </x:c>
      <x:c r="D855" s="23" t="str">
        <x:v>JAM MAKING SET WITH JARS</x:v>
      </x:c>
      <x:c r="E855" s="34" t="n">
        <x:v>288</x:v>
      </x:c>
      <x:c r="F855" s="55" t="n">
        <x:v>1162.04</x:v>
      </x:c>
      <x:c r="G855" s="58" t="n">
        <x:f>E854</x:f>
        <x:v>88</x:v>
      </x:c>
      <x:c r="H855" s="58" t="n">
        <x:f>AVERAGE(E851:E854)</x:f>
        <x:v>168.5</x:v>
      </x:c>
      <x:c r="I855" s="58" t="n">
        <x:f>AVERAGE(E847:E854)</x:f>
        <x:v>203.75</x:v>
      </x:c>
      <x:c r="J855" s="58" t="n">
        <x:f>IF(G855="","",ABS(E855-G855))</x:f>
        <x:v>200</x:v>
      </x:c>
      <x:c r="K855" s="58" t="n">
        <x:f>IF(H855="","",ABS(E855-H855))</x:f>
        <x:v>119.5</x:v>
      </x:c>
      <x:c r="L855" s="58" t="n">
        <x:f>IF(I855="","",ABS(E855-I855))</x:f>
        <x:v>84.25</x:v>
      </x:c>
      <x:c r="M855" s="23" t="str">
        <x:f>IF(B855&gt;44,"Validation","Training")</x:f>
        <x:v>Training</x:v>
      </x:c>
      <x:c r="N855" s="61" t="n">
        <x:f>IF(OR(H855="",E855=0),"",K855/E855)</x:f>
        <x:v>0.4149305555555556</x:v>
      </x:c>
    </x:row>
    <x:row r="856">
      <x:c r="A856" s="28" t="n">
        <x:v>40651</x:v>
      </x:c>
      <x:c r="B856" s="23" t="n">
        <x:v>20</x:v>
      </x:c>
      <x:c r="C856" s="23" t="str">
        <x:v>22960</x:v>
      </x:c>
      <x:c r="D856" s="23" t="str">
        <x:v>JAM MAKING SET WITH JARS</x:v>
      </x:c>
      <x:c r="E856" s="34" t="n">
        <x:v>79</x:v>
      </x:c>
      <x:c r="F856" s="55" t="n">
        <x:v>355.95</x:v>
      </x:c>
      <x:c r="G856" s="58" t="n">
        <x:f>E855</x:f>
        <x:v>288</x:v>
      </x:c>
      <x:c r="H856" s="58" t="n">
        <x:f>AVERAGE(E852:E855)</x:f>
        <x:v>177.75</x:v>
      </x:c>
      <x:c r="I856" s="58" t="n">
        <x:f>AVERAGE(E848:E855)</x:f>
        <x:v>197</x:v>
      </x:c>
      <x:c r="J856" s="58" t="n">
        <x:f>IF(G856="","",ABS(E856-G856))</x:f>
        <x:v>209</x:v>
      </x:c>
      <x:c r="K856" s="58" t="n">
        <x:f>IF(H856="","",ABS(E856-H856))</x:f>
        <x:v>98.75</x:v>
      </x:c>
      <x:c r="L856" s="58" t="n">
        <x:f>IF(I856="","",ABS(E856-I856))</x:f>
        <x:v>118</x:v>
      </x:c>
      <x:c r="M856" s="23" t="str">
        <x:f>IF(B856&gt;44,"Validation","Training")</x:f>
        <x:v>Training</x:v>
      </x:c>
      <x:c r="N856" s="61" t="n">
        <x:f>IF(OR(H856="",E856=0),"",K856/E856)</x:f>
        <x:v>1.25</x:v>
      </x:c>
    </x:row>
    <x:row r="857">
      <x:c r="A857" s="28" t="n">
        <x:v>40658</x:v>
      </x:c>
      <x:c r="B857" s="23" t="n">
        <x:v>21</x:v>
      </x:c>
      <x:c r="C857" s="23" t="str">
        <x:v>22960</x:v>
      </x:c>
      <x:c r="D857" s="23" t="str">
        <x:v>JAM MAKING SET WITH JARS</x:v>
      </x:c>
      <x:c r="E857" s="34" t="n">
        <x:v>45</x:v>
      </x:c>
      <x:c r="F857" s="55" t="n">
        <x:v>189.29</x:v>
      </x:c>
      <x:c r="G857" s="58" t="n">
        <x:f>E856</x:f>
        <x:v>79</x:v>
      </x:c>
      <x:c r="H857" s="58" t="n">
        <x:f>AVERAGE(E853:E856)</x:f>
        <x:v>146.25</x:v>
      </x:c>
      <x:c r="I857" s="58" t="n">
        <x:f>AVERAGE(E849:E856)</x:f>
        <x:v>192.625</x:v>
      </x:c>
      <x:c r="J857" s="58" t="n">
        <x:f>IF(G857="","",ABS(E857-G857))</x:f>
        <x:v>34</x:v>
      </x:c>
      <x:c r="K857" s="58" t="n">
        <x:f>IF(H857="","",ABS(E857-H857))</x:f>
        <x:v>101.25</x:v>
      </x:c>
      <x:c r="L857" s="58" t="n">
        <x:f>IF(I857="","",ABS(E857-I857))</x:f>
        <x:v>147.625</x:v>
      </x:c>
      <x:c r="M857" s="23" t="str">
        <x:f>IF(B857&gt;44,"Validation","Training")</x:f>
        <x:v>Training</x:v>
      </x:c>
      <x:c r="N857" s="61" t="n">
        <x:f>IF(OR(H857="",E857=0),"",K857/E857)</x:f>
        <x:v>2.25</x:v>
      </x:c>
    </x:row>
    <x:row r="858">
      <x:c r="A858" s="28" t="n">
        <x:v>40665</x:v>
      </x:c>
      <x:c r="B858" s="23" t="n">
        <x:v>22</x:v>
      </x:c>
      <x:c r="C858" s="23" t="str">
        <x:v>22960</x:v>
      </x:c>
      <x:c r="D858" s="23" t="str">
        <x:v>JAM MAKING SET WITH JARS</x:v>
      </x:c>
      <x:c r="E858" s="34" t="n">
        <x:v>89</x:v>
      </x:c>
      <x:c r="F858" s="55" t="n">
        <x:v>380.33</x:v>
      </x:c>
      <x:c r="G858" s="58" t="n">
        <x:f>E857</x:f>
        <x:v>45</x:v>
      </x:c>
      <x:c r="H858" s="58" t="n">
        <x:f>AVERAGE(E854:E857)</x:f>
        <x:v>125</x:v>
      </x:c>
      <x:c r="I858" s="58" t="n">
        <x:f>AVERAGE(E850:E857)</x:f>
        <x:v>161.375</x:v>
      </x:c>
      <x:c r="J858" s="58" t="n">
        <x:f>IF(G858="","",ABS(E858-G858))</x:f>
        <x:v>44</x:v>
      </x:c>
      <x:c r="K858" s="58" t="n">
        <x:f>IF(H858="","",ABS(E858-H858))</x:f>
        <x:v>36</x:v>
      </x:c>
      <x:c r="L858" s="58" t="n">
        <x:f>IF(I858="","",ABS(E858-I858))</x:f>
        <x:v>72.375</x:v>
      </x:c>
      <x:c r="M858" s="23" t="str">
        <x:f>IF(B858&gt;44,"Validation","Training")</x:f>
        <x:v>Training</x:v>
      </x:c>
      <x:c r="N858" s="61" t="n">
        <x:f>IF(OR(H858="",E858=0),"",K858/E858)</x:f>
        <x:v>0.4044943820224719</x:v>
      </x:c>
    </x:row>
    <x:row r="859">
      <x:c r="A859" s="28" t="n">
        <x:v>40672</x:v>
      </x:c>
      <x:c r="B859" s="23" t="n">
        <x:v>23</x:v>
      </x:c>
      <x:c r="C859" s="23" t="str">
        <x:v>22960</x:v>
      </x:c>
      <x:c r="D859" s="23" t="str">
        <x:v>JAM MAKING SET WITH JARS</x:v>
      </x:c>
      <x:c r="E859" s="34" t="n">
        <x:v>102</x:v>
      </x:c>
      <x:c r="F859" s="55" t="n">
        <x:v>425.66</x:v>
      </x:c>
      <x:c r="G859" s="58" t="n">
        <x:f>E858</x:f>
        <x:v>89</x:v>
      </x:c>
      <x:c r="H859" s="58" t="n">
        <x:f>AVERAGE(E855:E858)</x:f>
        <x:v>125.25</x:v>
      </x:c>
      <x:c r="I859" s="58" t="n">
        <x:f>AVERAGE(E851:E858)</x:f>
        <x:v>146.875</x:v>
      </x:c>
      <x:c r="J859" s="58" t="n">
        <x:f>IF(G859="","",ABS(E859-G859))</x:f>
        <x:v>13</x:v>
      </x:c>
      <x:c r="K859" s="58" t="n">
        <x:f>IF(H859="","",ABS(E859-H859))</x:f>
        <x:v>23.25</x:v>
      </x:c>
      <x:c r="L859" s="58" t="n">
        <x:f>IF(I859="","",ABS(E859-I859))</x:f>
        <x:v>44.875</x:v>
      </x:c>
      <x:c r="M859" s="23" t="str">
        <x:f>IF(B859&gt;44,"Validation","Training")</x:f>
        <x:v>Training</x:v>
      </x:c>
      <x:c r="N859" s="61" t="n">
        <x:f>IF(OR(H859="",E859=0),"",K859/E859)</x:f>
        <x:v>0.22794117647058823</x:v>
      </x:c>
    </x:row>
    <x:row r="860">
      <x:c r="A860" s="28" t="n">
        <x:v>40679</x:v>
      </x:c>
      <x:c r="B860" s="23" t="n">
        <x:v>24</x:v>
      </x:c>
      <x:c r="C860" s="23" t="str">
        <x:v>22960</x:v>
      </x:c>
      <x:c r="D860" s="23" t="str">
        <x:v>JAM MAKING SET WITH JARS</x:v>
      </x:c>
      <x:c r="E860" s="34" t="n">
        <x:v>256</x:v>
      </x:c>
      <x:c r="F860" s="55" t="n">
        <x:v>970.24</x:v>
      </x:c>
      <x:c r="G860" s="58" t="n">
        <x:f>E859</x:f>
        <x:v>102</x:v>
      </x:c>
      <x:c r="H860" s="58" t="n">
        <x:f>AVERAGE(E856:E859)</x:f>
        <x:v>78.75</x:v>
      </x:c>
      <x:c r="I860" s="58" t="n">
        <x:f>AVERAGE(E852:E859)</x:f>
        <x:v>128.25</x:v>
      </x:c>
      <x:c r="J860" s="58" t="n">
        <x:f>IF(G860="","",ABS(E860-G860))</x:f>
        <x:v>154</x:v>
      </x:c>
      <x:c r="K860" s="58" t="n">
        <x:f>IF(H860="","",ABS(E860-H860))</x:f>
        <x:v>177.25</x:v>
      </x:c>
      <x:c r="L860" s="58" t="n">
        <x:f>IF(I860="","",ABS(E860-I860))</x:f>
        <x:v>127.75</x:v>
      </x:c>
      <x:c r="M860" s="23" t="str">
        <x:f>IF(B860&gt;44,"Validation","Training")</x:f>
        <x:v>Training</x:v>
      </x:c>
      <x:c r="N860" s="61" t="n">
        <x:f>IF(OR(H860="",E860=0),"",K860/E860)</x:f>
        <x:v>0.6923828125</x:v>
      </x:c>
    </x:row>
    <x:row r="861">
      <x:c r="A861" s="28" t="n">
        <x:v>40686</x:v>
      </x:c>
      <x:c r="B861" s="23" t="n">
        <x:v>25</x:v>
      </x:c>
      <x:c r="C861" s="23" t="str">
        <x:v>22960</x:v>
      </x:c>
      <x:c r="D861" s="23" t="str">
        <x:v>JAM MAKING SET WITH JARS</x:v>
      </x:c>
      <x:c r="E861" s="34" t="n">
        <x:v>48</x:v>
      </x:c>
      <x:c r="F861" s="55" t="n">
        <x:v>220.16</x:v>
      </x:c>
      <x:c r="G861" s="58" t="n">
        <x:f>E860</x:f>
        <x:v>256</x:v>
      </x:c>
      <x:c r="H861" s="58" t="n">
        <x:f>AVERAGE(E857:E860)</x:f>
        <x:v>123</x:v>
      </x:c>
      <x:c r="I861" s="58" t="n">
        <x:f>AVERAGE(E853:E860)</x:f>
        <x:v>134.625</x:v>
      </x:c>
      <x:c r="J861" s="58" t="n">
        <x:f>IF(G861="","",ABS(E861-G861))</x:f>
        <x:v>208</x:v>
      </x:c>
      <x:c r="K861" s="58" t="n">
        <x:f>IF(H861="","",ABS(E861-H861))</x:f>
        <x:v>75</x:v>
      </x:c>
      <x:c r="L861" s="58" t="n">
        <x:f>IF(I861="","",ABS(E861-I861))</x:f>
        <x:v>86.625</x:v>
      </x:c>
      <x:c r="M861" s="23" t="str">
        <x:f>IF(B861&gt;44,"Validation","Training")</x:f>
        <x:v>Training</x:v>
      </x:c>
      <x:c r="N861" s="61" t="n">
        <x:f>IF(OR(H861="",E861=0),"",K861/E861)</x:f>
        <x:v>1.5625</x:v>
      </x:c>
    </x:row>
    <x:row r="862">
      <x:c r="A862" s="28" t="n">
        <x:v>40693</x:v>
      </x:c>
      <x:c r="B862" s="23" t="n">
        <x:v>26</x:v>
      </x:c>
      <x:c r="C862" s="23" t="str">
        <x:v>22960</x:v>
      </x:c>
      <x:c r="D862" s="23" t="str">
        <x:v>JAM MAKING SET WITH JARS</x:v>
      </x:c>
      <x:c r="E862" s="34" t="n">
        <x:v>73</x:v>
      </x:c>
      <x:c r="F862" s="55" t="n">
        <x:v>304.37</x:v>
      </x:c>
      <x:c r="G862" s="58" t="n">
        <x:f>E861</x:f>
        <x:v>48</x:v>
      </x:c>
      <x:c r="H862" s="58" t="n">
        <x:f>AVERAGE(E858:E861)</x:f>
        <x:v>123.75</x:v>
      </x:c>
      <x:c r="I862" s="58" t="n">
        <x:f>AVERAGE(E854:E861)</x:f>
        <x:v>124.375</x:v>
      </x:c>
      <x:c r="J862" s="58" t="n">
        <x:f>IF(G862="","",ABS(E862-G862))</x:f>
        <x:v>25</x:v>
      </x:c>
      <x:c r="K862" s="58" t="n">
        <x:f>IF(H862="","",ABS(E862-H862))</x:f>
        <x:v>50.75</x:v>
      </x:c>
      <x:c r="L862" s="58" t="n">
        <x:f>IF(I862="","",ABS(E862-I862))</x:f>
        <x:v>51.375</x:v>
      </x:c>
      <x:c r="M862" s="23" t="str">
        <x:f>IF(B862&gt;44,"Validation","Training")</x:f>
        <x:v>Training</x:v>
      </x:c>
      <x:c r="N862" s="61" t="n">
        <x:f>IF(OR(H862="",E862=0),"",K862/E862)</x:f>
        <x:v>0.6952054794520548</x:v>
      </x:c>
    </x:row>
    <x:row r="863">
      <x:c r="A863" s="28" t="n">
        <x:v>40700</x:v>
      </x:c>
      <x:c r="B863" s="23" t="n">
        <x:v>27</x:v>
      </x:c>
      <x:c r="C863" s="23" t="str">
        <x:v>22960</x:v>
      </x:c>
      <x:c r="D863" s="23" t="str">
        <x:v>JAM MAKING SET WITH JARS</x:v>
      </x:c>
      <x:c r="E863" s="34" t="n">
        <x:v>122</x:v>
      </x:c>
      <x:c r="F863" s="55" t="n">
        <x:v>500.62</x:v>
      </x:c>
      <x:c r="G863" s="58" t="n">
        <x:f>E862</x:f>
        <x:v>73</x:v>
      </x:c>
      <x:c r="H863" s="58" t="n">
        <x:f>AVERAGE(E859:E862)</x:f>
        <x:v>119.75</x:v>
      </x:c>
      <x:c r="I863" s="58" t="n">
        <x:f>AVERAGE(E855:E862)</x:f>
        <x:v>122.5</x:v>
      </x:c>
      <x:c r="J863" s="58" t="n">
        <x:f>IF(G863="","",ABS(E863-G863))</x:f>
        <x:v>49</x:v>
      </x:c>
      <x:c r="K863" s="58" t="n">
        <x:f>IF(H863="","",ABS(E863-H863))</x:f>
        <x:v>2.25</x:v>
      </x:c>
      <x:c r="L863" s="58" t="n">
        <x:f>IF(I863="","",ABS(E863-I863))</x:f>
        <x:v>0.5</x:v>
      </x:c>
      <x:c r="M863" s="23" t="str">
        <x:f>IF(B863&gt;44,"Validation","Training")</x:f>
        <x:v>Training</x:v>
      </x:c>
      <x:c r="N863" s="61" t="n">
        <x:f>IF(OR(H863="",E863=0),"",K863/E863)</x:f>
        <x:v>0.018442622950819672</x:v>
      </x:c>
    </x:row>
    <x:row r="864">
      <x:c r="A864" s="28" t="n">
        <x:v>40707</x:v>
      </x:c>
      <x:c r="B864" s="23" t="n">
        <x:v>28</x:v>
      </x:c>
      <x:c r="C864" s="23" t="str">
        <x:v>22960</x:v>
      </x:c>
      <x:c r="D864" s="23" t="str">
        <x:v>JAM MAKING SET WITH JARS</x:v>
      </x:c>
      <x:c r="E864" s="34" t="n">
        <x:v>133</x:v>
      </x:c>
      <x:c r="F864" s="55" t="n">
        <x:v>569.53</x:v>
      </x:c>
      <x:c r="G864" s="58" t="n">
        <x:f>E863</x:f>
        <x:v>122</x:v>
      </x:c>
      <x:c r="H864" s="58" t="n">
        <x:f>AVERAGE(E860:E863)</x:f>
        <x:v>124.75</x:v>
      </x:c>
      <x:c r="I864" s="58" t="n">
        <x:f>AVERAGE(E856:E863)</x:f>
        <x:v>101.75</x:v>
      </x:c>
      <x:c r="J864" s="58" t="n">
        <x:f>IF(G864="","",ABS(E864-G864))</x:f>
        <x:v>11</x:v>
      </x:c>
      <x:c r="K864" s="58" t="n">
        <x:f>IF(H864="","",ABS(E864-H864))</x:f>
        <x:v>8.25</x:v>
      </x:c>
      <x:c r="L864" s="58" t="n">
        <x:f>IF(I864="","",ABS(E864-I864))</x:f>
        <x:v>31.25</x:v>
      </x:c>
      <x:c r="M864" s="23" t="str">
        <x:f>IF(B864&gt;44,"Validation","Training")</x:f>
        <x:v>Training</x:v>
      </x:c>
      <x:c r="N864" s="61" t="n">
        <x:f>IF(OR(H864="",E864=0),"",K864/E864)</x:f>
        <x:v>0.06203007518796992</x:v>
      </x:c>
    </x:row>
    <x:row r="865">
      <x:c r="A865" s="28" t="n">
        <x:v>40714</x:v>
      </x:c>
      <x:c r="B865" s="23" t="n">
        <x:v>29</x:v>
      </x:c>
      <x:c r="C865" s="23" t="str">
        <x:v>22960</x:v>
      </x:c>
      <x:c r="D865" s="23" t="str">
        <x:v>JAM MAKING SET WITH JARS</x:v>
      </x:c>
      <x:c r="E865" s="34" t="n">
        <x:v>86</x:v>
      </x:c>
      <x:c r="F865" s="55" t="n">
        <x:v>385.82</x:v>
      </x:c>
      <x:c r="G865" s="58" t="n">
        <x:f>E864</x:f>
        <x:v>133</x:v>
      </x:c>
      <x:c r="H865" s="58" t="n">
        <x:f>AVERAGE(E861:E864)</x:f>
        <x:v>94</x:v>
      </x:c>
      <x:c r="I865" s="58" t="n">
        <x:f>AVERAGE(E857:E864)</x:f>
        <x:v>108.5</x:v>
      </x:c>
      <x:c r="J865" s="58" t="n">
        <x:f>IF(G865="","",ABS(E865-G865))</x:f>
        <x:v>47</x:v>
      </x:c>
      <x:c r="K865" s="58" t="n">
        <x:f>IF(H865="","",ABS(E865-H865))</x:f>
        <x:v>8</x:v>
      </x:c>
      <x:c r="L865" s="58" t="n">
        <x:f>IF(I865="","",ABS(E865-I865))</x:f>
        <x:v>22.5</x:v>
      </x:c>
      <x:c r="M865" s="23" t="str">
        <x:f>IF(B865&gt;44,"Validation","Training")</x:f>
        <x:v>Training</x:v>
      </x:c>
      <x:c r="N865" s="61" t="n">
        <x:f>IF(OR(H865="",E865=0),"",K865/E865)</x:f>
        <x:v>0.09302325581395349</x:v>
      </x:c>
    </x:row>
    <x:row r="866">
      <x:c r="A866" s="28" t="n">
        <x:v>40721</x:v>
      </x:c>
      <x:c r="B866" s="23" t="n">
        <x:v>30</x:v>
      </x:c>
      <x:c r="C866" s="23" t="str">
        <x:v>22960</x:v>
      </x:c>
      <x:c r="D866" s="23" t="str">
        <x:v>JAM MAKING SET WITH JARS</x:v>
      </x:c>
      <x:c r="E866" s="34" t="n">
        <x:v>83</x:v>
      </x:c>
      <x:c r="F866" s="55" t="n">
        <x:v>336.79</x:v>
      </x:c>
      <x:c r="G866" s="58" t="n">
        <x:f>E865</x:f>
        <x:v>86</x:v>
      </x:c>
      <x:c r="H866" s="58" t="n">
        <x:f>AVERAGE(E862:E865)</x:f>
        <x:v>103.5</x:v>
      </x:c>
      <x:c r="I866" s="58" t="n">
        <x:f>AVERAGE(E858:E865)</x:f>
        <x:v>113.625</x:v>
      </x:c>
      <x:c r="J866" s="58" t="n">
        <x:f>IF(G866="","",ABS(E866-G866))</x:f>
        <x:v>3</x:v>
      </x:c>
      <x:c r="K866" s="58" t="n">
        <x:f>IF(H866="","",ABS(E866-H866))</x:f>
        <x:v>20.5</x:v>
      </x:c>
      <x:c r="L866" s="58" t="n">
        <x:f>IF(I866="","",ABS(E866-I866))</x:f>
        <x:v>30.625</x:v>
      </x:c>
      <x:c r="M866" s="23" t="str">
        <x:f>IF(B866&gt;44,"Validation","Training")</x:f>
        <x:v>Training</x:v>
      </x:c>
      <x:c r="N866" s="61" t="n">
        <x:f>IF(OR(H866="",E866=0),"",K866/E866)</x:f>
        <x:v>0.2469879518072289</x:v>
      </x:c>
    </x:row>
    <x:row r="867">
      <x:c r="A867" s="28" t="n">
        <x:v>40728</x:v>
      </x:c>
      <x:c r="B867" s="23" t="n">
        <x:v>31</x:v>
      </x:c>
      <x:c r="C867" s="23" t="str">
        <x:v>22960</x:v>
      </x:c>
      <x:c r="D867" s="23" t="str">
        <x:v>JAM MAKING SET WITH JARS</x:v>
      </x:c>
      <x:c r="E867" s="34" t="n">
        <x:v>66</x:v>
      </x:c>
      <x:c r="F867" s="55" t="n">
        <x:v>296.78</x:v>
      </x:c>
      <x:c r="G867" s="58" t="n">
        <x:f>E866</x:f>
        <x:v>83</x:v>
      </x:c>
      <x:c r="H867" s="58" t="n">
        <x:f>AVERAGE(E863:E866)</x:f>
        <x:v>106</x:v>
      </x:c>
      <x:c r="I867" s="58" t="n">
        <x:f>AVERAGE(E859:E866)</x:f>
        <x:v>112.875</x:v>
      </x:c>
      <x:c r="J867" s="58" t="n">
        <x:f>IF(G867="","",ABS(E867-G867))</x:f>
        <x:v>17</x:v>
      </x:c>
      <x:c r="K867" s="58" t="n">
        <x:f>IF(H867="","",ABS(E867-H867))</x:f>
        <x:v>40</x:v>
      </x:c>
      <x:c r="L867" s="58" t="n">
        <x:f>IF(I867="","",ABS(E867-I867))</x:f>
        <x:v>46.875</x:v>
      </x:c>
      <x:c r="M867" s="23" t="str">
        <x:f>IF(B867&gt;44,"Validation","Training")</x:f>
        <x:v>Training</x:v>
      </x:c>
      <x:c r="N867" s="61" t="n">
        <x:f>IF(OR(H867="",E867=0),"",K867/E867)</x:f>
        <x:v>0.6060606060606061</x:v>
      </x:c>
    </x:row>
    <x:row r="868">
      <x:c r="A868" s="28" t="n">
        <x:v>40735</x:v>
      </x:c>
      <x:c r="B868" s="23" t="n">
        <x:v>32</x:v>
      </x:c>
      <x:c r="C868" s="23" t="str">
        <x:v>22960</x:v>
      </x:c>
      <x:c r="D868" s="23" t="str">
        <x:v>JAM MAKING SET WITH JARS</x:v>
      </x:c>
      <x:c r="E868" s="34" t="n">
        <x:v>88</x:v>
      </x:c>
      <x:c r="F868" s="55" t="n">
        <x:v>374.12</x:v>
      </x:c>
      <x:c r="G868" s="58" t="n">
        <x:f>E867</x:f>
        <x:v>66</x:v>
      </x:c>
      <x:c r="H868" s="58" t="n">
        <x:f>AVERAGE(E864:E867)</x:f>
        <x:v>92</x:v>
      </x:c>
      <x:c r="I868" s="58" t="n">
        <x:f>AVERAGE(E860:E867)</x:f>
        <x:v>108.375</x:v>
      </x:c>
      <x:c r="J868" s="58" t="n">
        <x:f>IF(G868="","",ABS(E868-G868))</x:f>
        <x:v>22</x:v>
      </x:c>
      <x:c r="K868" s="58" t="n">
        <x:f>IF(H868="","",ABS(E868-H868))</x:f>
        <x:v>4</x:v>
      </x:c>
      <x:c r="L868" s="58" t="n">
        <x:f>IF(I868="","",ABS(E868-I868))</x:f>
        <x:v>20.375</x:v>
      </x:c>
      <x:c r="M868" s="23" t="str">
        <x:f>IF(B868&gt;44,"Validation","Training")</x:f>
        <x:v>Training</x:v>
      </x:c>
      <x:c r="N868" s="61" t="n">
        <x:f>IF(OR(H868="",E868=0),"",K868/E868)</x:f>
        <x:v>0.045454545454545456</x:v>
      </x:c>
    </x:row>
    <x:row r="869">
      <x:c r="A869" s="28" t="n">
        <x:v>40742</x:v>
      </x:c>
      <x:c r="B869" s="23" t="n">
        <x:v>33</x:v>
      </x:c>
      <x:c r="C869" s="23" t="str">
        <x:v>22960</x:v>
      </x:c>
      <x:c r="D869" s="23" t="str">
        <x:v>JAM MAKING SET WITH JARS</x:v>
      </x:c>
      <x:c r="E869" s="34" t="n">
        <x:v>264</x:v>
      </x:c>
      <x:c r="F869" s="55" t="n">
        <x:v>1005</x:v>
      </x:c>
      <x:c r="G869" s="58" t="n">
        <x:f>E868</x:f>
        <x:v>88</x:v>
      </x:c>
      <x:c r="H869" s="58" t="n">
        <x:f>AVERAGE(E865:E868)</x:f>
        <x:v>80.75</x:v>
      </x:c>
      <x:c r="I869" s="58" t="n">
        <x:f>AVERAGE(E861:E868)</x:f>
        <x:v>87.375</x:v>
      </x:c>
      <x:c r="J869" s="58" t="n">
        <x:f>IF(G869="","",ABS(E869-G869))</x:f>
        <x:v>176</x:v>
      </x:c>
      <x:c r="K869" s="58" t="n">
        <x:f>IF(H869="","",ABS(E869-H869))</x:f>
        <x:v>183.25</x:v>
      </x:c>
      <x:c r="L869" s="58" t="n">
        <x:f>IF(I869="","",ABS(E869-I869))</x:f>
        <x:v>176.625</x:v>
      </x:c>
      <x:c r="M869" s="23" t="str">
        <x:f>IF(B869&gt;44,"Validation","Training")</x:f>
        <x:v>Training</x:v>
      </x:c>
      <x:c r="N869" s="61" t="n">
        <x:f>IF(OR(H869="",E869=0),"",K869/E869)</x:f>
        <x:v>0.6941287878787878</x:v>
      </x:c>
    </x:row>
    <x:row r="870">
      <x:c r="A870" s="28" t="n">
        <x:v>40749</x:v>
      </x:c>
      <x:c r="B870" s="23" t="n">
        <x:v>34</x:v>
      </x:c>
      <x:c r="C870" s="23" t="str">
        <x:v>22960</x:v>
      </x:c>
      <x:c r="D870" s="23" t="str">
        <x:v>JAM MAKING SET WITH JARS</x:v>
      </x:c>
      <x:c r="E870" s="34" t="n">
        <x:v>419</x:v>
      </x:c>
      <x:c r="F870" s="55" t="n">
        <x:v>1703.79</x:v>
      </x:c>
      <x:c r="G870" s="58" t="n">
        <x:f>E869</x:f>
        <x:v>264</x:v>
      </x:c>
      <x:c r="H870" s="58" t="n">
        <x:f>AVERAGE(E866:E869)</x:f>
        <x:v>125.25</x:v>
      </x:c>
      <x:c r="I870" s="58" t="n">
        <x:f>AVERAGE(E862:E869)</x:f>
        <x:v>114.375</x:v>
      </x:c>
      <x:c r="J870" s="58" t="n">
        <x:f>IF(G870="","",ABS(E870-G870))</x:f>
        <x:v>155</x:v>
      </x:c>
      <x:c r="K870" s="58" t="n">
        <x:f>IF(H870="","",ABS(E870-H870))</x:f>
        <x:v>293.75</x:v>
      </x:c>
      <x:c r="L870" s="58" t="n">
        <x:f>IF(I870="","",ABS(E870-I870))</x:f>
        <x:v>304.625</x:v>
      </x:c>
      <x:c r="M870" s="23" t="str">
        <x:f>IF(B870&gt;44,"Validation","Training")</x:f>
        <x:v>Training</x:v>
      </x:c>
      <x:c r="N870" s="61" t="n">
        <x:f>IF(OR(H870="",E870=0),"",K870/E870)</x:f>
        <x:v>0.701073985680191</x:v>
      </x:c>
    </x:row>
    <x:row r="871">
      <x:c r="A871" s="28" t="n">
        <x:v>40756</x:v>
      </x:c>
      <x:c r="B871" s="23" t="n">
        <x:v>35</x:v>
      </x:c>
      <x:c r="C871" s="23" t="str">
        <x:v>22960</x:v>
      </x:c>
      <x:c r="D871" s="23" t="str">
        <x:v>JAM MAKING SET WITH JARS</x:v>
      </x:c>
      <x:c r="E871" s="34" t="n">
        <x:v>75</x:v>
      </x:c>
      <x:c r="F871" s="55" t="n">
        <x:v>304.79</x:v>
      </x:c>
      <x:c r="G871" s="58" t="n">
        <x:f>E870</x:f>
        <x:v>419</x:v>
      </x:c>
      <x:c r="H871" s="58" t="n">
        <x:f>AVERAGE(E867:E870)</x:f>
        <x:v>209.25</x:v>
      </x:c>
      <x:c r="I871" s="58" t="n">
        <x:f>AVERAGE(E863:E870)</x:f>
        <x:v>157.625</x:v>
      </x:c>
      <x:c r="J871" s="58" t="n">
        <x:f>IF(G871="","",ABS(E871-G871))</x:f>
        <x:v>344</x:v>
      </x:c>
      <x:c r="K871" s="58" t="n">
        <x:f>IF(H871="","",ABS(E871-H871))</x:f>
        <x:v>134.25</x:v>
      </x:c>
      <x:c r="L871" s="58" t="n">
        <x:f>IF(I871="","",ABS(E871-I871))</x:f>
        <x:v>82.625</x:v>
      </x:c>
      <x:c r="M871" s="23" t="str">
        <x:f>IF(B871&gt;44,"Validation","Training")</x:f>
        <x:v>Training</x:v>
      </x:c>
      <x:c r="N871" s="61" t="n">
        <x:f>IF(OR(H871="",E871=0),"",K871/E871)</x:f>
        <x:v>1.79</x:v>
      </x:c>
    </x:row>
    <x:row r="872">
      <x:c r="A872" s="28" t="n">
        <x:v>40763</x:v>
      </x:c>
      <x:c r="B872" s="23" t="n">
        <x:v>36</x:v>
      </x:c>
      <x:c r="C872" s="23" t="str">
        <x:v>22960</x:v>
      </x:c>
      <x:c r="D872" s="23" t="str">
        <x:v>JAM MAKING SET WITH JARS</x:v>
      </x:c>
      <x:c r="E872" s="34" t="n">
        <x:v>93</x:v>
      </x:c>
      <x:c r="F872" s="55" t="n">
        <x:v>425.73</x:v>
      </x:c>
      <x:c r="G872" s="58" t="n">
        <x:f>E871</x:f>
        <x:v>75</x:v>
      </x:c>
      <x:c r="H872" s="58" t="n">
        <x:f>AVERAGE(E868:E871)</x:f>
        <x:v>211.5</x:v>
      </x:c>
      <x:c r="I872" s="58" t="n">
        <x:f>AVERAGE(E864:E871)</x:f>
        <x:v>151.75</x:v>
      </x:c>
      <x:c r="J872" s="58" t="n">
        <x:f>IF(G872="","",ABS(E872-G872))</x:f>
        <x:v>18</x:v>
      </x:c>
      <x:c r="K872" s="58" t="n">
        <x:f>IF(H872="","",ABS(E872-H872))</x:f>
        <x:v>118.5</x:v>
      </x:c>
      <x:c r="L872" s="58" t="n">
        <x:f>IF(I872="","",ABS(E872-I872))</x:f>
        <x:v>58.75</x:v>
      </x:c>
      <x:c r="M872" s="23" t="str">
        <x:f>IF(B872&gt;44,"Validation","Training")</x:f>
        <x:v>Training</x:v>
      </x:c>
      <x:c r="N872" s="61" t="n">
        <x:f>IF(OR(H872="",E872=0),"",K872/E872)</x:f>
        <x:v>1.2741935483870968</x:v>
      </x:c>
    </x:row>
    <x:row r="873">
      <x:c r="A873" s="28" t="n">
        <x:v>40770</x:v>
      </x:c>
      <x:c r="B873" s="23" t="n">
        <x:v>37</x:v>
      </x:c>
      <x:c r="C873" s="23" t="str">
        <x:v>22960</x:v>
      </x:c>
      <x:c r="D873" s="23" t="str">
        <x:v>JAM MAKING SET WITH JARS</x:v>
      </x:c>
      <x:c r="E873" s="34" t="n">
        <x:v>294</x:v>
      </x:c>
      <x:c r="F873" s="55" t="n">
        <x:v>1330.12</x:v>
      </x:c>
      <x:c r="G873" s="58" t="n">
        <x:f>E872</x:f>
        <x:v>93</x:v>
      </x:c>
      <x:c r="H873" s="58" t="n">
        <x:f>AVERAGE(E869:E872)</x:f>
        <x:v>212.75</x:v>
      </x:c>
      <x:c r="I873" s="58" t="n">
        <x:f>AVERAGE(E865:E872)</x:f>
        <x:v>146.75</x:v>
      </x:c>
      <x:c r="J873" s="58" t="n">
        <x:f>IF(G873="","",ABS(E873-G873))</x:f>
        <x:v>201</x:v>
      </x:c>
      <x:c r="K873" s="58" t="n">
        <x:f>IF(H873="","",ABS(E873-H873))</x:f>
        <x:v>81.25</x:v>
      </x:c>
      <x:c r="L873" s="58" t="n">
        <x:f>IF(I873="","",ABS(E873-I873))</x:f>
        <x:v>147.25</x:v>
      </x:c>
      <x:c r="M873" s="23" t="str">
        <x:f>IF(B873&gt;44,"Validation","Training")</x:f>
        <x:v>Training</x:v>
      </x:c>
      <x:c r="N873" s="61" t="n">
        <x:f>IF(OR(H873="",E873=0),"",K873/E873)</x:f>
        <x:v>0.2763605442176871</x:v>
      </x:c>
    </x:row>
    <x:row r="874">
      <x:c r="A874" s="28" t="n">
        <x:v>40777</x:v>
      </x:c>
      <x:c r="B874" s="23" t="n">
        <x:v>38</x:v>
      </x:c>
      <x:c r="C874" s="23" t="str">
        <x:v>22960</x:v>
      </x:c>
      <x:c r="D874" s="23" t="str">
        <x:v>JAM MAKING SET WITH JARS</x:v>
      </x:c>
      <x:c r="E874" s="34" t="n">
        <x:v>46</x:v>
      </x:c>
      <x:c r="F874" s="55" t="n">
        <x:v>201.62</x:v>
      </x:c>
      <x:c r="G874" s="58" t="n">
        <x:f>E873</x:f>
        <x:v>294</x:v>
      </x:c>
      <x:c r="H874" s="58" t="n">
        <x:f>AVERAGE(E870:E873)</x:f>
        <x:v>220.25</x:v>
      </x:c>
      <x:c r="I874" s="58" t="n">
        <x:f>AVERAGE(E866:E873)</x:f>
        <x:v>172.75</x:v>
      </x:c>
      <x:c r="J874" s="58" t="n">
        <x:f>IF(G874="","",ABS(E874-G874))</x:f>
        <x:v>248</x:v>
      </x:c>
      <x:c r="K874" s="58" t="n">
        <x:f>IF(H874="","",ABS(E874-H874))</x:f>
        <x:v>174.25</x:v>
      </x:c>
      <x:c r="L874" s="58" t="n">
        <x:f>IF(I874="","",ABS(E874-I874))</x:f>
        <x:v>126.75</x:v>
      </x:c>
      <x:c r="M874" s="23" t="str">
        <x:f>IF(B874&gt;44,"Validation","Training")</x:f>
        <x:v>Training</x:v>
      </x:c>
      <x:c r="N874" s="61" t="n">
        <x:f>IF(OR(H874="",E874=0),"",K874/E874)</x:f>
        <x:v>3.7880434782608696</x:v>
      </x:c>
    </x:row>
    <x:row r="875">
      <x:c r="A875" s="28" t="n">
        <x:v>40784</x:v>
      </x:c>
      <x:c r="B875" s="23" t="n">
        <x:v>39</x:v>
      </x:c>
      <x:c r="C875" s="23" t="str">
        <x:v>22960</x:v>
      </x:c>
      <x:c r="D875" s="23" t="str">
        <x:v>JAM MAKING SET WITH JARS</x:v>
      </x:c>
      <x:c r="E875" s="34" t="n">
        <x:v>89</x:v>
      </x:c>
      <x:c r="F875" s="55" t="n">
        <x:v>428.93</x:v>
      </x:c>
      <x:c r="G875" s="58" t="n">
        <x:f>E874</x:f>
        <x:v>46</x:v>
      </x:c>
      <x:c r="H875" s="58" t="n">
        <x:f>AVERAGE(E871:E874)</x:f>
        <x:v>127</x:v>
      </x:c>
      <x:c r="I875" s="58" t="n">
        <x:f>AVERAGE(E867:E874)</x:f>
        <x:v>168.125</x:v>
      </x:c>
      <x:c r="J875" s="58" t="n">
        <x:f>IF(G875="","",ABS(E875-G875))</x:f>
        <x:v>43</x:v>
      </x:c>
      <x:c r="K875" s="58" t="n">
        <x:f>IF(H875="","",ABS(E875-H875))</x:f>
        <x:v>38</x:v>
      </x:c>
      <x:c r="L875" s="58" t="n">
        <x:f>IF(I875="","",ABS(E875-I875))</x:f>
        <x:v>79.125</x:v>
      </x:c>
      <x:c r="M875" s="23" t="str">
        <x:f>IF(B875&gt;44,"Validation","Training")</x:f>
        <x:v>Training</x:v>
      </x:c>
      <x:c r="N875" s="61" t="n">
        <x:f>IF(OR(H875="",E875=0),"",K875/E875)</x:f>
        <x:v>0.42696629213483145</x:v>
      </x:c>
    </x:row>
    <x:row r="876">
      <x:c r="A876" s="28" t="n">
        <x:v>40791</x:v>
      </x:c>
      <x:c r="B876" s="23" t="n">
        <x:v>40</x:v>
      </x:c>
      <x:c r="C876" s="23" t="str">
        <x:v>22960</x:v>
      </x:c>
      <x:c r="D876" s="23" t="str">
        <x:v>JAM MAKING SET WITH JARS</x:v>
      </x:c>
      <x:c r="E876" s="34" t="n">
        <x:v>114</x:v>
      </x:c>
      <x:c r="F876" s="55" t="n">
        <x:v>488.78</x:v>
      </x:c>
      <x:c r="G876" s="58" t="n">
        <x:f>E875</x:f>
        <x:v>89</x:v>
      </x:c>
      <x:c r="H876" s="58" t="n">
        <x:f>AVERAGE(E872:E875)</x:f>
        <x:v>130.5</x:v>
      </x:c>
      <x:c r="I876" s="58" t="n">
        <x:f>AVERAGE(E868:E875)</x:f>
        <x:v>171</x:v>
      </x:c>
      <x:c r="J876" s="58" t="n">
        <x:f>IF(G876="","",ABS(E876-G876))</x:f>
        <x:v>25</x:v>
      </x:c>
      <x:c r="K876" s="58" t="n">
        <x:f>IF(H876="","",ABS(E876-H876))</x:f>
        <x:v>16.5</x:v>
      </x:c>
      <x:c r="L876" s="58" t="n">
        <x:f>IF(I876="","",ABS(E876-I876))</x:f>
        <x:v>57</x:v>
      </x:c>
      <x:c r="M876" s="23" t="str">
        <x:f>IF(B876&gt;44,"Validation","Training")</x:f>
        <x:v>Training</x:v>
      </x:c>
      <x:c r="N876" s="61" t="n">
        <x:f>IF(OR(H876="",E876=0),"",K876/E876)</x:f>
        <x:v>0.14473684210526316</x:v>
      </x:c>
    </x:row>
    <x:row r="877">
      <x:c r="A877" s="28" t="n">
        <x:v>40798</x:v>
      </x:c>
      <x:c r="B877" s="23" t="n">
        <x:v>41</x:v>
      </x:c>
      <x:c r="C877" s="23" t="str">
        <x:v>22960</x:v>
      </x:c>
      <x:c r="D877" s="23" t="str">
        <x:v>JAM MAKING SET WITH JARS</x:v>
      </x:c>
      <x:c r="E877" s="34" t="n">
        <x:v>216</x:v>
      </x:c>
      <x:c r="F877" s="55" t="n">
        <x:v>874.28</x:v>
      </x:c>
      <x:c r="G877" s="58" t="n">
        <x:f>E876</x:f>
        <x:v>114</x:v>
      </x:c>
      <x:c r="H877" s="58" t="n">
        <x:f>AVERAGE(E873:E876)</x:f>
        <x:v>135.75</x:v>
      </x:c>
      <x:c r="I877" s="58" t="n">
        <x:f>AVERAGE(E869:E876)</x:f>
        <x:v>174.25</x:v>
      </x:c>
      <x:c r="J877" s="58" t="n">
        <x:f>IF(G877="","",ABS(E877-G877))</x:f>
        <x:v>102</x:v>
      </x:c>
      <x:c r="K877" s="58" t="n">
        <x:f>IF(H877="","",ABS(E877-H877))</x:f>
        <x:v>80.25</x:v>
      </x:c>
      <x:c r="L877" s="58" t="n">
        <x:f>IF(I877="","",ABS(E877-I877))</x:f>
        <x:v>41.75</x:v>
      </x:c>
      <x:c r="M877" s="23" t="str">
        <x:f>IF(B877&gt;44,"Validation","Training")</x:f>
        <x:v>Training</x:v>
      </x:c>
      <x:c r="N877" s="61" t="n">
        <x:f>IF(OR(H877="",E877=0),"",K877/E877)</x:f>
        <x:v>0.3715277777777778</x:v>
      </x:c>
    </x:row>
    <x:row r="878">
      <x:c r="A878" s="28" t="n">
        <x:v>40805</x:v>
      </x:c>
      <x:c r="B878" s="23" t="n">
        <x:v>42</x:v>
      </x:c>
      <x:c r="C878" s="23" t="str">
        <x:v>22960</x:v>
      </x:c>
      <x:c r="D878" s="23" t="str">
        <x:v>JAM MAKING SET WITH JARS</x:v>
      </x:c>
      <x:c r="E878" s="34" t="n">
        <x:v>275</x:v>
      </x:c>
      <x:c r="F878" s="55" t="n">
        <x:v>1043.87</x:v>
      </x:c>
      <x:c r="G878" s="58" t="n">
        <x:f>E877</x:f>
        <x:v>216</x:v>
      </x:c>
      <x:c r="H878" s="58" t="n">
        <x:f>AVERAGE(E874:E877)</x:f>
        <x:v>116.25</x:v>
      </x:c>
      <x:c r="I878" s="58" t="n">
        <x:f>AVERAGE(E870:E877)</x:f>
        <x:v>168.25</x:v>
      </x:c>
      <x:c r="J878" s="58" t="n">
        <x:f>IF(G878="","",ABS(E878-G878))</x:f>
        <x:v>59</x:v>
      </x:c>
      <x:c r="K878" s="58" t="n">
        <x:f>IF(H878="","",ABS(E878-H878))</x:f>
        <x:v>158.75</x:v>
      </x:c>
      <x:c r="L878" s="58" t="n">
        <x:f>IF(I878="","",ABS(E878-I878))</x:f>
        <x:v>106.75</x:v>
      </x:c>
      <x:c r="M878" s="23" t="str">
        <x:f>IF(B878&gt;44,"Validation","Training")</x:f>
        <x:v>Training</x:v>
      </x:c>
      <x:c r="N878" s="61" t="n">
        <x:f>IF(OR(H878="",E878=0),"",K878/E878)</x:f>
        <x:v>0.5772727272727273</x:v>
      </x:c>
    </x:row>
    <x:row r="879">
      <x:c r="A879" s="28" t="n">
        <x:v>40812</x:v>
      </x:c>
      <x:c r="B879" s="23" t="n">
        <x:v>43</x:v>
      </x:c>
      <x:c r="C879" s="23" t="str">
        <x:v>22960</x:v>
      </x:c>
      <x:c r="D879" s="23" t="str">
        <x:v>JAM MAKING SET WITH JARS</x:v>
      </x:c>
      <x:c r="E879" s="34" t="n">
        <x:v>187</x:v>
      </x:c>
      <x:c r="F879" s="55" t="n">
        <x:v>777.11</x:v>
      </x:c>
      <x:c r="G879" s="58" t="n">
        <x:f>E878</x:f>
        <x:v>275</x:v>
      </x:c>
      <x:c r="H879" s="58" t="n">
        <x:f>AVERAGE(E875:E878)</x:f>
        <x:v>173.5</x:v>
      </x:c>
      <x:c r="I879" s="58" t="n">
        <x:f>AVERAGE(E871:E878)</x:f>
        <x:v>150.25</x:v>
      </x:c>
      <x:c r="J879" s="58" t="n">
        <x:f>IF(G879="","",ABS(E879-G879))</x:f>
        <x:v>88</x:v>
      </x:c>
      <x:c r="K879" s="58" t="n">
        <x:f>IF(H879="","",ABS(E879-H879))</x:f>
        <x:v>13.5</x:v>
      </x:c>
      <x:c r="L879" s="58" t="n">
        <x:f>IF(I879="","",ABS(E879-I879))</x:f>
        <x:v>36.75</x:v>
      </x:c>
      <x:c r="M879" s="23" t="str">
        <x:f>IF(B879&gt;44,"Validation","Training")</x:f>
        <x:v>Training</x:v>
      </x:c>
      <x:c r="N879" s="61" t="n">
        <x:f>IF(OR(H879="",E879=0),"",K879/E879)</x:f>
        <x:v>0.07219251336898395</x:v>
      </x:c>
    </x:row>
    <x:row r="880">
      <x:c r="A880" s="28" t="n">
        <x:v>40819</x:v>
      </x:c>
      <x:c r="B880" s="23" t="n">
        <x:v>44</x:v>
      </x:c>
      <x:c r="C880" s="23" t="str">
        <x:v>22960</x:v>
      </x:c>
      <x:c r="D880" s="23" t="str">
        <x:v>JAM MAKING SET WITH JARS</x:v>
      </x:c>
      <x:c r="E880" s="34" t="n">
        <x:v>149</x:v>
      </x:c>
      <x:c r="F880" s="55" t="n">
        <x:v>657.85</x:v>
      </x:c>
      <x:c r="G880" s="58" t="n">
        <x:f>E879</x:f>
        <x:v>187</x:v>
      </x:c>
      <x:c r="H880" s="58" t="n">
        <x:f>AVERAGE(E876:E879)</x:f>
        <x:v>198</x:v>
      </x:c>
      <x:c r="I880" s="58" t="n">
        <x:f>AVERAGE(E872:E879)</x:f>
        <x:v>164.25</x:v>
      </x:c>
      <x:c r="J880" s="58" t="n">
        <x:f>IF(G880="","",ABS(E880-G880))</x:f>
        <x:v>38</x:v>
      </x:c>
      <x:c r="K880" s="58" t="n">
        <x:f>IF(H880="","",ABS(E880-H880))</x:f>
        <x:v>49</x:v>
      </x:c>
      <x:c r="L880" s="58" t="n">
        <x:f>IF(I880="","",ABS(E880-I880))</x:f>
        <x:v>15.25</x:v>
      </x:c>
      <x:c r="M880" s="23" t="str">
        <x:f>IF(B880&gt;44,"Validation","Training")</x:f>
        <x:v>Training</x:v>
      </x:c>
      <x:c r="N880" s="61" t="n">
        <x:f>IF(OR(H880="",E880=0),"",K880/E880)</x:f>
        <x:v>0.3288590604026846</x:v>
      </x:c>
    </x:row>
    <x:row r="881">
      <x:c r="A881" s="28" t="n">
        <x:v>40826</x:v>
      </x:c>
      <x:c r="B881" s="23" t="n">
        <x:v>45</x:v>
      </x:c>
      <x:c r="C881" s="23" t="str">
        <x:v>22960</x:v>
      </x:c>
      <x:c r="D881" s="23" t="str">
        <x:v>JAM MAKING SET WITH JARS</x:v>
      </x:c>
      <x:c r="E881" s="34" t="n">
        <x:v>262</x:v>
      </x:c>
      <x:c r="F881" s="55" t="n">
        <x:v>1057.78</x:v>
      </x:c>
      <x:c r="G881" s="58" t="n">
        <x:f>E880</x:f>
        <x:v>149</x:v>
      </x:c>
      <x:c r="H881" s="58" t="n">
        <x:f>AVERAGE(E877:E880)</x:f>
        <x:v>206.75</x:v>
      </x:c>
      <x:c r="I881" s="58" t="n">
        <x:f>AVERAGE(E873:E880)</x:f>
        <x:v>171.25</x:v>
      </x:c>
      <x:c r="J881" s="58" t="n">
        <x:f>IF(G881="","",ABS(E881-G881))</x:f>
        <x:v>113</x:v>
      </x:c>
      <x:c r="K881" s="58" t="n">
        <x:f>IF(H881="","",ABS(E881-H881))</x:f>
        <x:v>55.25</x:v>
      </x:c>
      <x:c r="L881" s="58" t="n">
        <x:f>IF(I881="","",ABS(E881-I881))</x:f>
        <x:v>90.75</x:v>
      </x:c>
      <x:c r="M881" s="23" t="str">
        <x:f>IF(B881&gt;44,"Validation","Training")</x:f>
        <x:v>Validation</x:v>
      </x:c>
      <x:c r="N881" s="61" t="n">
        <x:f>IF(OR(H881="",E881=0),"",K881/E881)</x:f>
        <x:v>0.21087786259541985</x:v>
      </x:c>
    </x:row>
    <x:row r="882">
      <x:c r="A882" s="28" t="n">
        <x:v>40833</x:v>
      </x:c>
      <x:c r="B882" s="23" t="n">
        <x:v>46</x:v>
      </x:c>
      <x:c r="C882" s="23" t="str">
        <x:v>22960</x:v>
      </x:c>
      <x:c r="D882" s="23" t="str">
        <x:v>JAM MAKING SET WITH JARS</x:v>
      </x:c>
      <x:c r="E882" s="34" t="n">
        <x:v>66</x:v>
      </x:c>
      <x:c r="F882" s="55" t="n">
        <x:v>310.86</x:v>
      </x:c>
      <x:c r="G882" s="58" t="n">
        <x:f>E881</x:f>
        <x:v>262</x:v>
      </x:c>
      <x:c r="H882" s="58" t="n">
        <x:f>AVERAGE(E878:E881)</x:f>
        <x:v>218.25</x:v>
      </x:c>
      <x:c r="I882" s="58" t="n">
        <x:f>AVERAGE(E874:E881)</x:f>
        <x:v>167.25</x:v>
      </x:c>
      <x:c r="J882" s="58" t="n">
        <x:f>IF(G882="","",ABS(E882-G882))</x:f>
        <x:v>196</x:v>
      </x:c>
      <x:c r="K882" s="58" t="n">
        <x:f>IF(H882="","",ABS(E882-H882))</x:f>
        <x:v>152.25</x:v>
      </x:c>
      <x:c r="L882" s="58" t="n">
        <x:f>IF(I882="","",ABS(E882-I882))</x:f>
        <x:v>101.25</x:v>
      </x:c>
      <x:c r="M882" s="23" t="str">
        <x:f>IF(B882&gt;44,"Validation","Training")</x:f>
        <x:v>Validation</x:v>
      </x:c>
      <x:c r="N882" s="61" t="n">
        <x:f>IF(OR(H882="",E882=0),"",K882/E882)</x:f>
        <x:v>2.3068181818181817</x:v>
      </x:c>
    </x:row>
    <x:row r="883">
      <x:c r="A883" s="28" t="n">
        <x:v>40840</x:v>
      </x:c>
      <x:c r="B883" s="23" t="n">
        <x:v>47</x:v>
      </x:c>
      <x:c r="C883" s="23" t="str">
        <x:v>22960</x:v>
      </x:c>
      <x:c r="D883" s="23" t="str">
        <x:v>JAM MAKING SET WITH JARS</x:v>
      </x:c>
      <x:c r="E883" s="34" t="n">
        <x:v>124</x:v>
      </x:c>
      <x:c r="F883" s="55" t="n">
        <x:v>523.16</x:v>
      </x:c>
      <x:c r="G883" s="58" t="n">
        <x:f>E882</x:f>
        <x:v>66</x:v>
      </x:c>
      <x:c r="H883" s="58" t="n">
        <x:f>AVERAGE(E879:E882)</x:f>
        <x:v>166</x:v>
      </x:c>
      <x:c r="I883" s="58" t="n">
        <x:f>AVERAGE(E875:E882)</x:f>
        <x:v>169.75</x:v>
      </x:c>
      <x:c r="J883" s="58" t="n">
        <x:f>IF(G883="","",ABS(E883-G883))</x:f>
        <x:v>58</x:v>
      </x:c>
      <x:c r="K883" s="58" t="n">
        <x:f>IF(H883="","",ABS(E883-H883))</x:f>
        <x:v>42</x:v>
      </x:c>
      <x:c r="L883" s="58" t="n">
        <x:f>IF(I883="","",ABS(E883-I883))</x:f>
        <x:v>45.75</x:v>
      </x:c>
      <x:c r="M883" s="23" t="str">
        <x:f>IF(B883&gt;44,"Validation","Training")</x:f>
        <x:v>Validation</x:v>
      </x:c>
      <x:c r="N883" s="61" t="n">
        <x:f>IF(OR(H883="",E883=0),"",K883/E883)</x:f>
        <x:v>0.3387096774193548</x:v>
      </x:c>
    </x:row>
    <x:row r="884">
      <x:c r="A884" s="28" t="n">
        <x:v>40847</x:v>
      </x:c>
      <x:c r="B884" s="23" t="n">
        <x:v>48</x:v>
      </x:c>
      <x:c r="C884" s="23" t="str">
        <x:v>22960</x:v>
      </x:c>
      <x:c r="D884" s="23" t="str">
        <x:v>JAM MAKING SET WITH JARS</x:v>
      </x:c>
      <x:c r="E884" s="34" t="n">
        <x:v>300</x:v>
      </x:c>
      <x:c r="F884" s="55" t="n">
        <x:v>1283.28</x:v>
      </x:c>
      <x:c r="G884" s="58" t="n">
        <x:f>E883</x:f>
        <x:v>124</x:v>
      </x:c>
      <x:c r="H884" s="58" t="n">
        <x:f>AVERAGE(E880:E883)</x:f>
        <x:v>150.25</x:v>
      </x:c>
      <x:c r="I884" s="58" t="n">
        <x:f>AVERAGE(E876:E883)</x:f>
        <x:v>174.125</x:v>
      </x:c>
      <x:c r="J884" s="58" t="n">
        <x:f>IF(G884="","",ABS(E884-G884))</x:f>
        <x:v>176</x:v>
      </x:c>
      <x:c r="K884" s="58" t="n">
        <x:f>IF(H884="","",ABS(E884-H884))</x:f>
        <x:v>149.75</x:v>
      </x:c>
      <x:c r="L884" s="58" t="n">
        <x:f>IF(I884="","",ABS(E884-I884))</x:f>
        <x:v>125.875</x:v>
      </x:c>
      <x:c r="M884" s="23" t="str">
        <x:f>IF(B884&gt;44,"Validation","Training")</x:f>
        <x:v>Validation</x:v>
      </x:c>
      <x:c r="N884" s="61" t="n">
        <x:f>IF(OR(H884="",E884=0),"",K884/E884)</x:f>
        <x:v>0.49916666666666665</x:v>
      </x:c>
    </x:row>
    <x:row r="885">
      <x:c r="A885" s="28" t="n">
        <x:v>40854</x:v>
      </x:c>
      <x:c r="B885" s="23" t="n">
        <x:v>49</x:v>
      </x:c>
      <x:c r="C885" s="23" t="str">
        <x:v>22960</x:v>
      </x:c>
      <x:c r="D885" s="23" t="str">
        <x:v>JAM MAKING SET WITH JARS</x:v>
      </x:c>
      <x:c r="E885" s="34" t="n">
        <x:v>148</x:v>
      </x:c>
      <x:c r="F885" s="55" t="n">
        <x:v>661.8</x:v>
      </x:c>
      <x:c r="G885" s="58" t="n">
        <x:f>E884</x:f>
        <x:v>300</x:v>
      </x:c>
      <x:c r="H885" s="58" t="n">
        <x:f>AVERAGE(E881:E884)</x:f>
        <x:v>188</x:v>
      </x:c>
      <x:c r="I885" s="58" t="n">
        <x:f>AVERAGE(E877:E884)</x:f>
        <x:v>197.375</x:v>
      </x:c>
      <x:c r="J885" s="58" t="n">
        <x:f>IF(G885="","",ABS(E885-G885))</x:f>
        <x:v>152</x:v>
      </x:c>
      <x:c r="K885" s="58" t="n">
        <x:f>IF(H885="","",ABS(E885-H885))</x:f>
        <x:v>40</x:v>
      </x:c>
      <x:c r="L885" s="58" t="n">
        <x:f>IF(I885="","",ABS(E885-I885))</x:f>
        <x:v>49.375</x:v>
      </x:c>
      <x:c r="M885" s="23" t="str">
        <x:f>IF(B885&gt;44,"Validation","Training")</x:f>
        <x:v>Validation</x:v>
      </x:c>
      <x:c r="N885" s="61" t="n">
        <x:f>IF(OR(H885="",E885=0),"",K885/E885)</x:f>
        <x:v>0.2702702702702703</x:v>
      </x:c>
    </x:row>
    <x:row r="886">
      <x:c r="A886" s="28" t="n">
        <x:v>40861</x:v>
      </x:c>
      <x:c r="B886" s="23" t="n">
        <x:v>50</x:v>
      </x:c>
      <x:c r="C886" s="23" t="str">
        <x:v>22960</x:v>
      </x:c>
      <x:c r="D886" s="23" t="str">
        <x:v>JAM MAKING SET WITH JARS</x:v>
      </x:c>
      <x:c r="E886" s="34" t="n">
        <x:v>163</x:v>
      </x:c>
      <x:c r="F886" s="55" t="n">
        <x:v>766.71</x:v>
      </x:c>
      <x:c r="G886" s="58" t="n">
        <x:f>E885</x:f>
        <x:v>148</x:v>
      </x:c>
      <x:c r="H886" s="58" t="n">
        <x:f>AVERAGE(E882:E885)</x:f>
        <x:v>159.5</x:v>
      </x:c>
      <x:c r="I886" s="58" t="n">
        <x:f>AVERAGE(E878:E885)</x:f>
        <x:v>188.875</x:v>
      </x:c>
      <x:c r="J886" s="58" t="n">
        <x:f>IF(G886="","",ABS(E886-G886))</x:f>
        <x:v>15</x:v>
      </x:c>
      <x:c r="K886" s="58" t="n">
        <x:f>IF(H886="","",ABS(E886-H886))</x:f>
        <x:v>3.5</x:v>
      </x:c>
      <x:c r="L886" s="58" t="n">
        <x:f>IF(I886="","",ABS(E886-I886))</x:f>
        <x:v>25.875</x:v>
      </x:c>
      <x:c r="M886" s="23" t="str">
        <x:f>IF(B886&gt;44,"Validation","Training")</x:f>
        <x:v>Validation</x:v>
      </x:c>
      <x:c r="N886" s="61" t="n">
        <x:f>IF(OR(H886="",E886=0),"",K886/E886)</x:f>
        <x:v>0.02147239263803681</x:v>
      </x:c>
    </x:row>
    <x:row r="887">
      <x:c r="A887" s="28" t="n">
        <x:v>40868</x:v>
      </x:c>
      <x:c r="B887" s="23" t="n">
        <x:v>51</x:v>
      </x:c>
      <x:c r="C887" s="23" t="str">
        <x:v>22960</x:v>
      </x:c>
      <x:c r="D887" s="23" t="str">
        <x:v>JAM MAKING SET WITH JARS</x:v>
      </x:c>
      <x:c r="E887" s="34" t="n">
        <x:v>186</x:v>
      </x:c>
      <x:c r="F887" s="55" t="n">
        <x:v>871.9</x:v>
      </x:c>
      <x:c r="G887" s="58" t="n">
        <x:f>E886</x:f>
        <x:v>163</x:v>
      </x:c>
      <x:c r="H887" s="58" t="n">
        <x:f>AVERAGE(E883:E886)</x:f>
        <x:v>183.75</x:v>
      </x:c>
      <x:c r="I887" s="58" t="n">
        <x:f>AVERAGE(E879:E886)</x:f>
        <x:v>174.875</x:v>
      </x:c>
      <x:c r="J887" s="58" t="n">
        <x:f>IF(G887="","",ABS(E887-G887))</x:f>
        <x:v>23</x:v>
      </x:c>
      <x:c r="K887" s="58" t="n">
        <x:f>IF(H887="","",ABS(E887-H887))</x:f>
        <x:v>2.25</x:v>
      </x:c>
      <x:c r="L887" s="58" t="n">
        <x:f>IF(I887="","",ABS(E887-I887))</x:f>
        <x:v>11.125</x:v>
      </x:c>
      <x:c r="M887" s="23" t="str">
        <x:f>IF(B887&gt;44,"Validation","Training")</x:f>
        <x:v>Validation</x:v>
      </x:c>
      <x:c r="N887" s="61" t="n">
        <x:f>IF(OR(H887="",E887=0),"",K887/E887)</x:f>
        <x:v>0.012096774193548387</x:v>
      </x:c>
    </x:row>
    <x:row r="888">
      <x:c r="A888" s="28" t="n">
        <x:v>40875</x:v>
      </x:c>
      <x:c r="B888" s="23" t="n">
        <x:v>52</x:v>
      </x:c>
      <x:c r="C888" s="23" t="str">
        <x:v>22960</x:v>
      </x:c>
      <x:c r="D888" s="23" t="str">
        <x:v>JAM MAKING SET WITH JARS</x:v>
      </x:c>
      <x:c r="E888" s="34" t="n">
        <x:v>350</x:v>
      </x:c>
      <x:c r="F888" s="55" t="n">
        <x:v>1640.22</x:v>
      </x:c>
      <x:c r="G888" s="58" t="n">
        <x:f>E887</x:f>
        <x:v>186</x:v>
      </x:c>
      <x:c r="H888" s="58" t="n">
        <x:f>AVERAGE(E884:E887)</x:f>
        <x:v>199.25</x:v>
      </x:c>
      <x:c r="I888" s="58" t="n">
        <x:f>AVERAGE(E880:E887)</x:f>
        <x:v>174.75</x:v>
      </x:c>
      <x:c r="J888" s="58" t="n">
        <x:f>IF(G888="","",ABS(E888-G888))</x:f>
        <x:v>164</x:v>
      </x:c>
      <x:c r="K888" s="58" t="n">
        <x:f>IF(H888="","",ABS(E888-H888))</x:f>
        <x:v>150.75</x:v>
      </x:c>
      <x:c r="L888" s="58" t="n">
        <x:f>IF(I888="","",ABS(E888-I888))</x:f>
        <x:v>175.25</x:v>
      </x:c>
      <x:c r="M888" s="23" t="str">
        <x:f>IF(B888&gt;44,"Validation","Training")</x:f>
        <x:v>Validation</x:v>
      </x:c>
      <x:c r="N888" s="61" t="n">
        <x:f>IF(OR(H888="",E888=0),"",K888/E888)</x:f>
        <x:v>0.4307142857142857</x:v>
      </x:c>
    </x:row>
    <x:row r="889">
      <x:c r="A889" s="28" t="n">
        <x:v>40518</x:v>
      </x:c>
      <x:c r="B889" s="23" t="n">
        <x:v>1</x:v>
      </x:c>
      <x:c r="C889" s="23" t="str">
        <x:v>20725</x:v>
      </x:c>
      <x:c r="D889" s="23" t="str">
        <x:v>LUNCH BAG RED RETROSPOT</x:v>
      </x:c>
      <x:c r="E889" s="34" t="n">
        <x:v>283</x:v>
      </x:c>
      <x:c r="F889" s="55" t="n">
        <x:v>619.6</x:v>
      </x:c>
      <x:c r="G889" s="58" t="str">
        <x:f>""</x:f>
      </x:c>
      <x:c r="H889" s="58" t="str">
        <x:f>""</x:f>
      </x:c>
      <x:c r="I889" s="58" t="str">
        <x:f>""</x:f>
      </x:c>
      <x:c r="J889" s="58" t="str">
        <x:f>IF(G889="","",ABS(E889-G889))</x:f>
      </x:c>
      <x:c r="K889" s="58" t="str">
        <x:f>IF(H889="","",ABS(E889-H889))</x:f>
      </x:c>
      <x:c r="L889" s="58" t="str">
        <x:f>IF(I889="","",ABS(E889-I889))</x:f>
      </x:c>
      <x:c r="M889" s="23" t="str">
        <x:f>IF(B889&gt;44,"Validation","Training")</x:f>
        <x:v>Training</x:v>
      </x:c>
      <x:c r="N889" s="61" t="str">
        <x:f>IF(OR(H889="",E889=0),"",K889/E889)</x:f>
      </x:c>
    </x:row>
    <x:row r="890">
      <x:c r="A890" s="28" t="n">
        <x:v>40525</x:v>
      </x:c>
      <x:c r="B890" s="23" t="n">
        <x:v>2</x:v>
      </x:c>
      <x:c r="C890" s="23" t="str">
        <x:v>20725</x:v>
      </x:c>
      <x:c r="D890" s="23" t="str">
        <x:v>LUNCH BAG RED RETROSPOT</x:v>
      </x:c>
      <x:c r="E890" s="34" t="n">
        <x:v>187</x:v>
      </x:c>
      <x:c r="F890" s="55" t="n">
        <x:v>342.67</x:v>
      </x:c>
      <x:c r="G890" s="58" t="n">
        <x:f>E889</x:f>
        <x:v>283</x:v>
      </x:c>
      <x:c r="H890" s="58" t="str">
        <x:f>""</x:f>
      </x:c>
      <x:c r="I890" s="58" t="str">
        <x:f>""</x:f>
      </x:c>
      <x:c r="J890" s="58" t="n">
        <x:f>IF(G890="","",ABS(E890-G890))</x:f>
        <x:v>96</x:v>
      </x:c>
      <x:c r="K890" s="58" t="str">
        <x:f>IF(H890="","",ABS(E890-H890))</x:f>
      </x:c>
      <x:c r="L890" s="58" t="str">
        <x:f>IF(I890="","",ABS(E890-I890))</x:f>
      </x:c>
      <x:c r="M890" s="23" t="str">
        <x:f>IF(B890&gt;44,"Validation","Training")</x:f>
        <x:v>Training</x:v>
      </x:c>
      <x:c r="N890" s="61" t="str">
        <x:f>IF(OR(H890="",E890=0),"",K890/E890)</x:f>
      </x:c>
    </x:row>
    <x:row r="891">
      <x:c r="A891" s="28" t="n">
        <x:v>40532</x:v>
      </x:c>
      <x:c r="B891" s="23" t="n">
        <x:v>3</x:v>
      </x:c>
      <x:c r="C891" s="23" t="str">
        <x:v>20725</x:v>
      </x:c>
      <x:c r="D891" s="23" t="str">
        <x:v>LUNCH BAG RED RETROSPOT</x:v>
      </x:c>
      <x:c r="E891" s="34" t="n">
        <x:v>44</x:v>
      </x:c>
      <x:c r="F891" s="55" t="n">
        <x:v>82.84</x:v>
      </x:c>
      <x:c r="G891" s="58" t="n">
        <x:f>E890</x:f>
        <x:v>187</x:v>
      </x:c>
      <x:c r="H891" s="58" t="str">
        <x:f>""</x:f>
      </x:c>
      <x:c r="I891" s="58" t="str">
        <x:f>""</x:f>
      </x:c>
      <x:c r="J891" s="58" t="n">
        <x:f>IF(G891="","",ABS(E891-G891))</x:f>
        <x:v>143</x:v>
      </x:c>
      <x:c r="K891" s="58" t="str">
        <x:f>IF(H891="","",ABS(E891-H891))</x:f>
      </x:c>
      <x:c r="L891" s="58" t="str">
        <x:f>IF(I891="","",ABS(E891-I891))</x:f>
      </x:c>
      <x:c r="M891" s="23" t="str">
        <x:f>IF(B891&gt;44,"Validation","Training")</x:f>
        <x:v>Training</x:v>
      </x:c>
      <x:c r="N891" s="61" t="str">
        <x:f>IF(OR(H891="",E891=0),"",K891/E891)</x:f>
      </x:c>
    </x:row>
    <x:row r="892">
      <x:c r="A892" s="28" t="n">
        <x:v>40539</x:v>
      </x:c>
      <x:c r="B892" s="23" t="n">
        <x:v>4</x:v>
      </x:c>
      <x:c r="C892" s="23" t="str">
        <x:v>20725</x:v>
      </x:c>
      <x:c r="D892" s="23" t="str">
        <x:v>LUNCH BAG RED RETROSPOT</x:v>
      </x:c>
      <x:c r="E892" s="34" t="n">
        <x:v>0</x:v>
      </x:c>
      <x:c r="F892" s="55" t="n">
        <x:v>0</x:v>
      </x:c>
      <x:c r="G892" s="58" t="n">
        <x:f>E891</x:f>
        <x:v>44</x:v>
      </x:c>
      <x:c r="H892" s="58" t="str">
        <x:f>""</x:f>
      </x:c>
      <x:c r="I892" s="58" t="str">
        <x:f>""</x:f>
      </x:c>
      <x:c r="J892" s="58" t="n">
        <x:f>IF(G892="","",ABS(E892-G892))</x:f>
        <x:v>44</x:v>
      </x:c>
      <x:c r="K892" s="58" t="str">
        <x:f>IF(H892="","",ABS(E892-H892))</x:f>
      </x:c>
      <x:c r="L892" s="58" t="str">
        <x:f>IF(I892="","",ABS(E892-I892))</x:f>
      </x:c>
      <x:c r="M892" s="23" t="str">
        <x:f>IF(B892&gt;44,"Validation","Training")</x:f>
        <x:v>Training</x:v>
      </x:c>
      <x:c r="N892" s="61" t="str">
        <x:f>IF(OR(H892="",E892=0),"",K892/E892)</x:f>
      </x:c>
    </x:row>
    <x:row r="893">
      <x:c r="A893" s="28" t="n">
        <x:v>40546</x:v>
      </x:c>
      <x:c r="B893" s="23" t="n">
        <x:v>5</x:v>
      </x:c>
      <x:c r="C893" s="23" t="str">
        <x:v>20725</x:v>
      </x:c>
      <x:c r="D893" s="23" t="str">
        <x:v>LUNCH BAG RED RETROSPOT</x:v>
      </x:c>
      <x:c r="E893" s="34" t="n">
        <x:v>462</x:v>
      </x:c>
      <x:c r="F893" s="55" t="n">
        <x:v>707.42</x:v>
      </x:c>
      <x:c r="G893" s="58" t="n">
        <x:f>E892</x:f>
        <x:v>0</x:v>
      </x:c>
      <x:c r="H893" s="58" t="n">
        <x:f>AVERAGE(E889:E892)</x:f>
        <x:v>128.5</x:v>
      </x:c>
      <x:c r="I893" s="58" t="str">
        <x:f>""</x:f>
      </x:c>
      <x:c r="J893" s="58" t="str">
        <x:f>IF(G893="","",ABS(E893-G893))</x:f>
      </x:c>
      <x:c r="K893" s="58" t="n">
        <x:f>IF(H893="","",ABS(E893-H893))</x:f>
        <x:v>333.5</x:v>
      </x:c>
      <x:c r="L893" s="58" t="str">
        <x:f>IF(I893="","",ABS(E893-I893))</x:f>
      </x:c>
      <x:c r="M893" s="23" t="str">
        <x:f>IF(B893&gt;44,"Validation","Training")</x:f>
        <x:v>Training</x:v>
      </x:c>
      <x:c r="N893" s="61" t="n">
        <x:f>IF(OR(H893="",E893=0),"",K893/E893)</x:f>
        <x:v>0.7218614718614719</x:v>
      </x:c>
    </x:row>
    <x:row r="894">
      <x:c r="A894" s="28" t="n">
        <x:v>40553</x:v>
      </x:c>
      <x:c r="B894" s="23" t="n">
        <x:v>6</x:v>
      </x:c>
      <x:c r="C894" s="23" t="str">
        <x:v>20725</x:v>
      </x:c>
      <x:c r="D894" s="23" t="str">
        <x:v>LUNCH BAG RED RETROSPOT</x:v>
      </x:c>
      <x:c r="E894" s="34" t="n">
        <x:v>642</x:v>
      </x:c>
      <x:c r="F894" s="55" t="n">
        <x:v>994.26</x:v>
      </x:c>
      <x:c r="G894" s="58" t="n">
        <x:f>E893</x:f>
        <x:v>462</x:v>
      </x:c>
      <x:c r="H894" s="58" t="n">
        <x:f>AVERAGE(E890:E893)</x:f>
        <x:v>173.25</x:v>
      </x:c>
      <x:c r="I894" s="58" t="str">
        <x:f>""</x:f>
      </x:c>
      <x:c r="J894" s="58" t="n">
        <x:f>IF(G894="","",ABS(E894-G894))</x:f>
        <x:v>180</x:v>
      </x:c>
      <x:c r="K894" s="58" t="n">
        <x:f>IF(H894="","",ABS(E894-H894))</x:f>
        <x:v>468.75</x:v>
      </x:c>
      <x:c r="L894" s="58" t="str">
        <x:f>IF(I894="","",ABS(E894-I894))</x:f>
      </x:c>
      <x:c r="M894" s="23" t="str">
        <x:f>IF(B894&gt;44,"Validation","Training")</x:f>
        <x:v>Training</x:v>
      </x:c>
      <x:c r="N894" s="61" t="n">
        <x:f>IF(OR(H894="",E894=0),"",K894/E894)</x:f>
        <x:v>0.7301401869158879</x:v>
      </x:c>
    </x:row>
    <x:row r="895">
      <x:c r="A895" s="28" t="n">
        <x:v>40560</x:v>
      </x:c>
      <x:c r="B895" s="23" t="n">
        <x:v>7</x:v>
      </x:c>
      <x:c r="C895" s="23" t="str">
        <x:v>20725</x:v>
      </x:c>
      <x:c r="D895" s="23" t="str">
        <x:v>LUNCH BAG RED RETROSPOT</x:v>
      </x:c>
      <x:c r="E895" s="34" t="n">
        <x:v>128</x:v>
      </x:c>
      <x:c r="F895" s="55" t="n">
        <x:v>198.64</x:v>
      </x:c>
      <x:c r="G895" s="58" t="n">
        <x:f>E894</x:f>
        <x:v>642</x:v>
      </x:c>
      <x:c r="H895" s="58" t="n">
        <x:f>AVERAGE(E891:E894)</x:f>
        <x:v>287</x:v>
      </x:c>
      <x:c r="I895" s="58" t="str">
        <x:f>""</x:f>
      </x:c>
      <x:c r="J895" s="58" t="n">
        <x:f>IF(G895="","",ABS(E895-G895))</x:f>
        <x:v>514</x:v>
      </x:c>
      <x:c r="K895" s="58" t="n">
        <x:f>IF(H895="","",ABS(E895-H895))</x:f>
        <x:v>159</x:v>
      </x:c>
      <x:c r="L895" s="58" t="str">
        <x:f>IF(I895="","",ABS(E895-I895))</x:f>
      </x:c>
      <x:c r="M895" s="23" t="str">
        <x:f>IF(B895&gt;44,"Validation","Training")</x:f>
        <x:v>Training</x:v>
      </x:c>
      <x:c r="N895" s="61" t="n">
        <x:f>IF(OR(H895="",E895=0),"",K895/E895)</x:f>
        <x:v>1.2421875</x:v>
      </x:c>
    </x:row>
    <x:row r="896">
      <x:c r="A896" s="28" t="n">
        <x:v>40567</x:v>
      </x:c>
      <x:c r="B896" s="23" t="n">
        <x:v>8</x:v>
      </x:c>
      <x:c r="C896" s="23" t="str">
        <x:v>20725</x:v>
      </x:c>
      <x:c r="D896" s="23" t="str">
        <x:v>LUNCH BAG RED RETROSPOT</x:v>
      </x:c>
      <x:c r="E896" s="34" t="n">
        <x:v>171</x:v>
      </x:c>
      <x:c r="F896" s="55" t="n">
        <x:v>334.27</x:v>
      </x:c>
      <x:c r="G896" s="58" t="n">
        <x:f>E895</x:f>
        <x:v>128</x:v>
      </x:c>
      <x:c r="H896" s="58" t="n">
        <x:f>AVERAGE(E892:E895)</x:f>
        <x:v>308</x:v>
      </x:c>
      <x:c r="I896" s="58" t="str">
        <x:f>""</x:f>
      </x:c>
      <x:c r="J896" s="58" t="n">
        <x:f>IF(G896="","",ABS(E896-G896))</x:f>
        <x:v>43</x:v>
      </x:c>
      <x:c r="K896" s="58" t="n">
        <x:f>IF(H896="","",ABS(E896-H896))</x:f>
        <x:v>137</x:v>
      </x:c>
      <x:c r="L896" s="58" t="str">
        <x:f>IF(I896="","",ABS(E896-I896))</x:f>
      </x:c>
      <x:c r="M896" s="23" t="str">
        <x:f>IF(B896&gt;44,"Validation","Training")</x:f>
        <x:v>Training</x:v>
      </x:c>
      <x:c r="N896" s="61" t="n">
        <x:f>IF(OR(H896="",E896=0),"",K896/E896)</x:f>
        <x:v>0.8011695906432749</x:v>
      </x:c>
    </x:row>
    <x:row r="897">
      <x:c r="A897" s="28" t="n">
        <x:v>40574</x:v>
      </x:c>
      <x:c r="B897" s="23" t="n">
        <x:v>9</x:v>
      </x:c>
      <x:c r="C897" s="23" t="str">
        <x:v>20725</x:v>
      </x:c>
      <x:c r="D897" s="23" t="str">
        <x:v>LUNCH BAG RED RETROSPOT</x:v>
      </x:c>
      <x:c r="E897" s="34" t="n">
        <x:v>417</x:v>
      </x:c>
      <x:c r="F897" s="55" t="n">
        <x:v>735.76</x:v>
      </x:c>
      <x:c r="G897" s="58" t="n">
        <x:f>E896</x:f>
        <x:v>171</x:v>
      </x:c>
      <x:c r="H897" s="58" t="n">
        <x:f>AVERAGE(E893:E896)</x:f>
        <x:v>350.75</x:v>
      </x:c>
      <x:c r="I897" s="58" t="n">
        <x:f>AVERAGE(E889:E896)</x:f>
        <x:v>239.625</x:v>
      </x:c>
      <x:c r="J897" s="58" t="n">
        <x:f>IF(G897="","",ABS(E897-G897))</x:f>
        <x:v>246</x:v>
      </x:c>
      <x:c r="K897" s="58" t="n">
        <x:f>IF(H897="","",ABS(E897-H897))</x:f>
        <x:v>66.25</x:v>
      </x:c>
      <x:c r="L897" s="58" t="n">
        <x:f>IF(I897="","",ABS(E897-I897))</x:f>
        <x:v>177.375</x:v>
      </x:c>
      <x:c r="M897" s="23" t="str">
        <x:f>IF(B897&gt;44,"Validation","Training")</x:f>
        <x:v>Training</x:v>
      </x:c>
      <x:c r="N897" s="61" t="n">
        <x:f>IF(OR(H897="",E897=0),"",K897/E897)</x:f>
        <x:v>0.15887290167865709</x:v>
      </x:c>
    </x:row>
    <x:row r="898">
      <x:c r="A898" s="28" t="n">
        <x:v>40581</x:v>
      </x:c>
      <x:c r="B898" s="23" t="n">
        <x:v>10</x:v>
      </x:c>
      <x:c r="C898" s="23" t="str">
        <x:v>20725</x:v>
      </x:c>
      <x:c r="D898" s="23" t="str">
        <x:v>LUNCH BAG RED RETROSPOT</x:v>
      </x:c>
      <x:c r="E898" s="34" t="n">
        <x:v>255</x:v>
      </x:c>
      <x:c r="F898" s="55" t="n">
        <x:v>433.84</x:v>
      </x:c>
      <x:c r="G898" s="58" t="n">
        <x:f>E897</x:f>
        <x:v>417</x:v>
      </x:c>
      <x:c r="H898" s="58" t="n">
        <x:f>AVERAGE(E894:E897)</x:f>
        <x:v>339.5</x:v>
      </x:c>
      <x:c r="I898" s="58" t="n">
        <x:f>AVERAGE(E890:E897)</x:f>
        <x:v>256.375</x:v>
      </x:c>
      <x:c r="J898" s="58" t="n">
        <x:f>IF(G898="","",ABS(E898-G898))</x:f>
        <x:v>162</x:v>
      </x:c>
      <x:c r="K898" s="58" t="n">
        <x:f>IF(H898="","",ABS(E898-H898))</x:f>
        <x:v>84.5</x:v>
      </x:c>
      <x:c r="L898" s="58" t="n">
        <x:f>IF(I898="","",ABS(E898-I898))</x:f>
        <x:v>1.375</x:v>
      </x:c>
      <x:c r="M898" s="23" t="str">
        <x:f>IF(B898&gt;44,"Validation","Training")</x:f>
        <x:v>Training</x:v>
      </x:c>
      <x:c r="N898" s="61" t="n">
        <x:f>IF(OR(H898="",E898=0),"",K898/E898)</x:f>
        <x:v>0.33137254901960783</x:v>
      </x:c>
    </x:row>
    <x:row r="899">
      <x:c r="A899" s="28" t="n">
        <x:v>40588</x:v>
      </x:c>
      <x:c r="B899" s="23" t="n">
        <x:v>11</x:v>
      </x:c>
      <x:c r="C899" s="23" t="str">
        <x:v>20725</x:v>
      </x:c>
      <x:c r="D899" s="23" t="str">
        <x:v>LUNCH BAG RED RETROSPOT</x:v>
      </x:c>
      <x:c r="E899" s="34" t="n">
        <x:v>291</x:v>
      </x:c>
      <x:c r="F899" s="55" t="n">
        <x:v>506.48</x:v>
      </x:c>
      <x:c r="G899" s="58" t="n">
        <x:f>E898</x:f>
        <x:v>255</x:v>
      </x:c>
      <x:c r="H899" s="58" t="n">
        <x:f>AVERAGE(E895:E898)</x:f>
        <x:v>242.75</x:v>
      </x:c>
      <x:c r="I899" s="58" t="n">
        <x:f>AVERAGE(E891:E898)</x:f>
        <x:v>264.875</x:v>
      </x:c>
      <x:c r="J899" s="58" t="n">
        <x:f>IF(G899="","",ABS(E899-G899))</x:f>
        <x:v>36</x:v>
      </x:c>
      <x:c r="K899" s="58" t="n">
        <x:f>IF(H899="","",ABS(E899-H899))</x:f>
        <x:v>48.25</x:v>
      </x:c>
      <x:c r="L899" s="58" t="n">
        <x:f>IF(I899="","",ABS(E899-I899))</x:f>
        <x:v>26.125</x:v>
      </x:c>
      <x:c r="M899" s="23" t="str">
        <x:f>IF(B899&gt;44,"Validation","Training")</x:f>
        <x:v>Training</x:v>
      </x:c>
      <x:c r="N899" s="61" t="n">
        <x:f>IF(OR(H899="",E899=0),"",K899/E899)</x:f>
        <x:v>0.16580756013745704</x:v>
      </x:c>
    </x:row>
    <x:row r="900">
      <x:c r="A900" s="28" t="n">
        <x:v>40595</x:v>
      </x:c>
      <x:c r="B900" s="23" t="n">
        <x:v>12</x:v>
      </x:c>
      <x:c r="C900" s="23" t="str">
        <x:v>20725</x:v>
      </x:c>
      <x:c r="D900" s="23" t="str">
        <x:v>LUNCH BAG RED RETROSPOT</x:v>
      </x:c>
      <x:c r="E900" s="34" t="n">
        <x:v>369</x:v>
      </x:c>
      <x:c r="F900" s="55" t="n">
        <x:v>630.07</x:v>
      </x:c>
      <x:c r="G900" s="58" t="n">
        <x:f>E899</x:f>
        <x:v>291</x:v>
      </x:c>
      <x:c r="H900" s="58" t="n">
        <x:f>AVERAGE(E896:E899)</x:f>
        <x:v>283.5</x:v>
      </x:c>
      <x:c r="I900" s="58" t="n">
        <x:f>AVERAGE(E892:E899)</x:f>
        <x:v>295.75</x:v>
      </x:c>
      <x:c r="J900" s="58" t="n">
        <x:f>IF(G900="","",ABS(E900-G900))</x:f>
        <x:v>78</x:v>
      </x:c>
      <x:c r="K900" s="58" t="n">
        <x:f>IF(H900="","",ABS(E900-H900))</x:f>
        <x:v>85.5</x:v>
      </x:c>
      <x:c r="L900" s="58" t="n">
        <x:f>IF(I900="","",ABS(E900-I900))</x:f>
        <x:v>73.25</x:v>
      </x:c>
      <x:c r="M900" s="23" t="str">
        <x:f>IF(B900&gt;44,"Validation","Training")</x:f>
        <x:v>Training</x:v>
      </x:c>
      <x:c r="N900" s="61" t="n">
        <x:f>IF(OR(H900="",E900=0),"",K900/E900)</x:f>
        <x:v>0.23170731707317074</x:v>
      </x:c>
    </x:row>
    <x:row r="901">
      <x:c r="A901" s="28" t="n">
        <x:v>40602</x:v>
      </x:c>
      <x:c r="B901" s="23" t="n">
        <x:v>13</x:v>
      </x:c>
      <x:c r="C901" s="23" t="str">
        <x:v>20725</x:v>
      </x:c>
      <x:c r="D901" s="23" t="str">
        <x:v>LUNCH BAG RED RETROSPOT</x:v>
      </x:c>
      <x:c r="E901" s="34" t="n">
        <x:v>175</x:v>
      </x:c>
      <x:c r="F901" s="55" t="n">
        <x:v>279.5</x:v>
      </x:c>
      <x:c r="G901" s="58" t="n">
        <x:f>E900</x:f>
        <x:v>369</x:v>
      </x:c>
      <x:c r="H901" s="58" t="n">
        <x:f>AVERAGE(E897:E900)</x:f>
        <x:v>333</x:v>
      </x:c>
      <x:c r="I901" s="58" t="n">
        <x:f>AVERAGE(E893:E900)</x:f>
        <x:v>341.875</x:v>
      </x:c>
      <x:c r="J901" s="58" t="n">
        <x:f>IF(G901="","",ABS(E901-G901))</x:f>
        <x:v>194</x:v>
      </x:c>
      <x:c r="K901" s="58" t="n">
        <x:f>IF(H901="","",ABS(E901-H901))</x:f>
        <x:v>158</x:v>
      </x:c>
      <x:c r="L901" s="58" t="n">
        <x:f>IF(I901="","",ABS(E901-I901))</x:f>
        <x:v>166.875</x:v>
      </x:c>
      <x:c r="M901" s="23" t="str">
        <x:f>IF(B901&gt;44,"Validation","Training")</x:f>
        <x:v>Training</x:v>
      </x:c>
      <x:c r="N901" s="61" t="n">
        <x:f>IF(OR(H901="",E901=0),"",K901/E901)</x:f>
        <x:v>0.9028571428571428</x:v>
      </x:c>
    </x:row>
    <x:row r="902">
      <x:c r="A902" s="28" t="n">
        <x:v>40609</x:v>
      </x:c>
      <x:c r="B902" s="23" t="n">
        <x:v>14</x:v>
      </x:c>
      <x:c r="C902" s="23" t="str">
        <x:v>20725</x:v>
      </x:c>
      <x:c r="D902" s="23" t="str">
        <x:v>LUNCH BAG RED RETROSPOT</x:v>
      </x:c>
      <x:c r="E902" s="34" t="n">
        <x:v>148</x:v>
      </x:c>
      <x:c r="F902" s="55" t="n">
        <x:v>249.64</x:v>
      </x:c>
      <x:c r="G902" s="58" t="n">
        <x:f>E901</x:f>
        <x:v>175</x:v>
      </x:c>
      <x:c r="H902" s="58" t="n">
        <x:f>AVERAGE(E898:E901)</x:f>
        <x:v>272.5</x:v>
      </x:c>
      <x:c r="I902" s="58" t="n">
        <x:f>AVERAGE(E894:E901)</x:f>
        <x:v>306</x:v>
      </x:c>
      <x:c r="J902" s="58" t="n">
        <x:f>IF(G902="","",ABS(E902-G902))</x:f>
        <x:v>27</x:v>
      </x:c>
      <x:c r="K902" s="58" t="n">
        <x:f>IF(H902="","",ABS(E902-H902))</x:f>
        <x:v>124.5</x:v>
      </x:c>
      <x:c r="L902" s="58" t="n">
        <x:f>IF(I902="","",ABS(E902-I902))</x:f>
        <x:v>158</x:v>
      </x:c>
      <x:c r="M902" s="23" t="str">
        <x:f>IF(B902&gt;44,"Validation","Training")</x:f>
        <x:v>Training</x:v>
      </x:c>
      <x:c r="N902" s="61" t="n">
        <x:f>IF(OR(H902="",E902=0),"",K902/E902)</x:f>
        <x:v>0.8412162162162162</x:v>
      </x:c>
    </x:row>
    <x:row r="903">
      <x:c r="A903" s="28" t="n">
        <x:v>40616</x:v>
      </x:c>
      <x:c r="B903" s="23" t="n">
        <x:v>15</x:v>
      </x:c>
      <x:c r="C903" s="23" t="str">
        <x:v>20725</x:v>
      </x:c>
      <x:c r="D903" s="23" t="str">
        <x:v>LUNCH BAG RED RETROSPOT</x:v>
      </x:c>
      <x:c r="E903" s="34" t="n">
        <x:v>278</x:v>
      </x:c>
      <x:c r="F903" s="55" t="n">
        <x:v>507.17</x:v>
      </x:c>
      <x:c r="G903" s="58" t="n">
        <x:f>E902</x:f>
        <x:v>148</x:v>
      </x:c>
      <x:c r="H903" s="58" t="n">
        <x:f>AVERAGE(E899:E902)</x:f>
        <x:v>245.75</x:v>
      </x:c>
      <x:c r="I903" s="58" t="n">
        <x:f>AVERAGE(E895:E902)</x:f>
        <x:v>244.25</x:v>
      </x:c>
      <x:c r="J903" s="58" t="n">
        <x:f>IF(G903="","",ABS(E903-G903))</x:f>
        <x:v>130</x:v>
      </x:c>
      <x:c r="K903" s="58" t="n">
        <x:f>IF(H903="","",ABS(E903-H903))</x:f>
        <x:v>32.25</x:v>
      </x:c>
      <x:c r="L903" s="58" t="n">
        <x:f>IF(I903="","",ABS(E903-I903))</x:f>
        <x:v>33.75</x:v>
      </x:c>
      <x:c r="M903" s="23" t="str">
        <x:f>IF(B903&gt;44,"Validation","Training")</x:f>
        <x:v>Training</x:v>
      </x:c>
      <x:c r="N903" s="61" t="n">
        <x:f>IF(OR(H903="",E903=0),"",K903/E903)</x:f>
        <x:v>0.11600719424460432</x:v>
      </x:c>
    </x:row>
    <x:row r="904">
      <x:c r="A904" s="28" t="n">
        <x:v>40623</x:v>
      </x:c>
      <x:c r="B904" s="23" t="n">
        <x:v>16</x:v>
      </x:c>
      <x:c r="C904" s="23" t="str">
        <x:v>20725</x:v>
      </x:c>
      <x:c r="D904" s="23" t="str">
        <x:v>LUNCH BAG RED RETROSPOT</x:v>
      </x:c>
      <x:c r="E904" s="34" t="n">
        <x:v>379</x:v>
      </x:c>
      <x:c r="F904" s="55" t="n">
        <x:v>678.16</x:v>
      </x:c>
      <x:c r="G904" s="58" t="n">
        <x:f>E903</x:f>
        <x:v>278</x:v>
      </x:c>
      <x:c r="H904" s="58" t="n">
        <x:f>AVERAGE(E900:E903)</x:f>
        <x:v>242.5</x:v>
      </x:c>
      <x:c r="I904" s="58" t="n">
        <x:f>AVERAGE(E896:E903)</x:f>
        <x:v>263</x:v>
      </x:c>
      <x:c r="J904" s="58" t="n">
        <x:f>IF(G904="","",ABS(E904-G904))</x:f>
        <x:v>101</x:v>
      </x:c>
      <x:c r="K904" s="58" t="n">
        <x:f>IF(H904="","",ABS(E904-H904))</x:f>
        <x:v>136.5</x:v>
      </x:c>
      <x:c r="L904" s="58" t="n">
        <x:f>IF(I904="","",ABS(E904-I904))</x:f>
        <x:v>116</x:v>
      </x:c>
      <x:c r="M904" s="23" t="str">
        <x:f>IF(B904&gt;44,"Validation","Training")</x:f>
        <x:v>Training</x:v>
      </x:c>
      <x:c r="N904" s="61" t="n">
        <x:f>IF(OR(H904="",E904=0),"",K904/E904)</x:f>
        <x:v>0.36015831134564646</x:v>
      </x:c>
    </x:row>
    <x:row r="905">
      <x:c r="A905" s="28" t="n">
        <x:v>40630</x:v>
      </x:c>
      <x:c r="B905" s="23" t="n">
        <x:v>17</x:v>
      </x:c>
      <x:c r="C905" s="23" t="str">
        <x:v>20725</x:v>
      </x:c>
      <x:c r="D905" s="23" t="str">
        <x:v>LUNCH BAG RED RETROSPOT</x:v>
      </x:c>
      <x:c r="E905" s="34" t="n">
        <x:v>587</x:v>
      </x:c>
      <x:c r="F905" s="55" t="n">
        <x:v>1132.73</x:v>
      </x:c>
      <x:c r="G905" s="58" t="n">
        <x:f>E904</x:f>
        <x:v>379</x:v>
      </x:c>
      <x:c r="H905" s="58" t="n">
        <x:f>AVERAGE(E901:E904)</x:f>
        <x:v>245</x:v>
      </x:c>
      <x:c r="I905" s="58" t="n">
        <x:f>AVERAGE(E897:E904)</x:f>
        <x:v>289</x:v>
      </x:c>
      <x:c r="J905" s="58" t="n">
        <x:f>IF(G905="","",ABS(E905-G905))</x:f>
        <x:v>208</x:v>
      </x:c>
      <x:c r="K905" s="58" t="n">
        <x:f>IF(H905="","",ABS(E905-H905))</x:f>
        <x:v>342</x:v>
      </x:c>
      <x:c r="L905" s="58" t="n">
        <x:f>IF(I905="","",ABS(E905-I905))</x:f>
        <x:v>298</x:v>
      </x:c>
      <x:c r="M905" s="23" t="str">
        <x:f>IF(B905&gt;44,"Validation","Training")</x:f>
        <x:v>Training</x:v>
      </x:c>
      <x:c r="N905" s="61" t="n">
        <x:f>IF(OR(H905="",E905=0),"",K905/E905)</x:f>
        <x:v>0.5826235093696763</x:v>
      </x:c>
    </x:row>
    <x:row r="906">
      <x:c r="A906" s="28" t="n">
        <x:v>40637</x:v>
      </x:c>
      <x:c r="B906" s="23" t="n">
        <x:v>18</x:v>
      </x:c>
      <x:c r="C906" s="23" t="str">
        <x:v>20725</x:v>
      </x:c>
      <x:c r="D906" s="23" t="str">
        <x:v>LUNCH BAG RED RETROSPOT</x:v>
      </x:c>
      <x:c r="E906" s="34" t="n">
        <x:v>247</x:v>
      </x:c>
      <x:c r="F906" s="55" t="n">
        <x:v>495.26</x:v>
      </x:c>
      <x:c r="G906" s="58" t="n">
        <x:f>E905</x:f>
        <x:v>587</x:v>
      </x:c>
      <x:c r="H906" s="58" t="n">
        <x:f>AVERAGE(E902:E905)</x:f>
        <x:v>348</x:v>
      </x:c>
      <x:c r="I906" s="58" t="n">
        <x:f>AVERAGE(E898:E905)</x:f>
        <x:v>310.25</x:v>
      </x:c>
      <x:c r="J906" s="58" t="n">
        <x:f>IF(G906="","",ABS(E906-G906))</x:f>
        <x:v>340</x:v>
      </x:c>
      <x:c r="K906" s="58" t="n">
        <x:f>IF(H906="","",ABS(E906-H906))</x:f>
        <x:v>101</x:v>
      </x:c>
      <x:c r="L906" s="58" t="n">
        <x:f>IF(I906="","",ABS(E906-I906))</x:f>
        <x:v>63.25</x:v>
      </x:c>
      <x:c r="M906" s="23" t="str">
        <x:f>IF(B906&gt;44,"Validation","Training")</x:f>
        <x:v>Training</x:v>
      </x:c>
      <x:c r="N906" s="61" t="n">
        <x:f>IF(OR(H906="",E906=0),"",K906/E906)</x:f>
        <x:v>0.4089068825910931</x:v>
      </x:c>
    </x:row>
    <x:row r="907">
      <x:c r="A907" s="28" t="n">
        <x:v>40644</x:v>
      </x:c>
      <x:c r="B907" s="23" t="n">
        <x:v>19</x:v>
      </x:c>
      <x:c r="C907" s="23" t="str">
        <x:v>20725</x:v>
      </x:c>
      <x:c r="D907" s="23" t="str">
        <x:v>LUNCH BAG RED RETROSPOT</x:v>
      </x:c>
      <x:c r="E907" s="34" t="n">
        <x:v>305</x:v>
      </x:c>
      <x:c r="F907" s="55" t="n">
        <x:v>708.47</x:v>
      </x:c>
      <x:c r="G907" s="58" t="n">
        <x:f>E906</x:f>
        <x:v>247</x:v>
      </x:c>
      <x:c r="H907" s="58" t="n">
        <x:f>AVERAGE(E903:E906)</x:f>
        <x:v>372.75</x:v>
      </x:c>
      <x:c r="I907" s="58" t="n">
        <x:f>AVERAGE(E899:E906)</x:f>
        <x:v>309.25</x:v>
      </x:c>
      <x:c r="J907" s="58" t="n">
        <x:f>IF(G907="","",ABS(E907-G907))</x:f>
        <x:v>58</x:v>
      </x:c>
      <x:c r="K907" s="58" t="n">
        <x:f>IF(H907="","",ABS(E907-H907))</x:f>
        <x:v>67.75</x:v>
      </x:c>
      <x:c r="L907" s="58" t="n">
        <x:f>IF(I907="","",ABS(E907-I907))</x:f>
        <x:v>4.25</x:v>
      </x:c>
      <x:c r="M907" s="23" t="str">
        <x:f>IF(B907&gt;44,"Validation","Training")</x:f>
        <x:v>Training</x:v>
      </x:c>
      <x:c r="N907" s="61" t="n">
        <x:f>IF(OR(H907="",E907=0),"",K907/E907)</x:f>
        <x:v>0.22213114754098362</x:v>
      </x:c>
    </x:row>
    <x:row r="908">
      <x:c r="A908" s="28" t="n">
        <x:v>40651</x:v>
      </x:c>
      <x:c r="B908" s="23" t="n">
        <x:v>20</x:v>
      </x:c>
      <x:c r="C908" s="23" t="str">
        <x:v>20725</x:v>
      </x:c>
      <x:c r="D908" s="23" t="str">
        <x:v>LUNCH BAG RED RETROSPOT</x:v>
      </x:c>
      <x:c r="E908" s="34" t="n">
        <x:v>368</x:v>
      </x:c>
      <x:c r="F908" s="55" t="n">
        <x:v>763.18</x:v>
      </x:c>
      <x:c r="G908" s="58" t="n">
        <x:f>E907</x:f>
        <x:v>305</x:v>
      </x:c>
      <x:c r="H908" s="58" t="n">
        <x:f>AVERAGE(E904:E907)</x:f>
        <x:v>379.5</x:v>
      </x:c>
      <x:c r="I908" s="58" t="n">
        <x:f>AVERAGE(E900:E907)</x:f>
        <x:v>311</x:v>
      </x:c>
      <x:c r="J908" s="58" t="n">
        <x:f>IF(G908="","",ABS(E908-G908))</x:f>
        <x:v>63</x:v>
      </x:c>
      <x:c r="K908" s="58" t="n">
        <x:f>IF(H908="","",ABS(E908-H908))</x:f>
        <x:v>11.5</x:v>
      </x:c>
      <x:c r="L908" s="58" t="n">
        <x:f>IF(I908="","",ABS(E908-I908))</x:f>
        <x:v>57</x:v>
      </x:c>
      <x:c r="M908" s="23" t="str">
        <x:f>IF(B908&gt;44,"Validation","Training")</x:f>
        <x:v>Training</x:v>
      </x:c>
      <x:c r="N908" s="61" t="n">
        <x:f>IF(OR(H908="",E908=0),"",K908/E908)</x:f>
        <x:v>0.03125</x:v>
      </x:c>
    </x:row>
    <x:row r="909">
      <x:c r="A909" s="28" t="n">
        <x:v>40658</x:v>
      </x:c>
      <x:c r="B909" s="23" t="n">
        <x:v>21</x:v>
      </x:c>
      <x:c r="C909" s="23" t="str">
        <x:v>20725</x:v>
      </x:c>
      <x:c r="D909" s="23" t="str">
        <x:v>LUNCH BAG RED RETROSPOT</x:v>
      </x:c>
      <x:c r="E909" s="34" t="n">
        <x:v>164</x:v>
      </x:c>
      <x:c r="F909" s="55" t="n">
        <x:v>372.38</x:v>
      </x:c>
      <x:c r="G909" s="58" t="n">
        <x:f>E908</x:f>
        <x:v>368</x:v>
      </x:c>
      <x:c r="H909" s="58" t="n">
        <x:f>AVERAGE(E905:E908)</x:f>
        <x:v>376.75</x:v>
      </x:c>
      <x:c r="I909" s="58" t="n">
        <x:f>AVERAGE(E901:E908)</x:f>
        <x:v>310.875</x:v>
      </x:c>
      <x:c r="J909" s="58" t="n">
        <x:f>IF(G909="","",ABS(E909-G909))</x:f>
        <x:v>204</x:v>
      </x:c>
      <x:c r="K909" s="58" t="n">
        <x:f>IF(H909="","",ABS(E909-H909))</x:f>
        <x:v>212.75</x:v>
      </x:c>
      <x:c r="L909" s="58" t="n">
        <x:f>IF(I909="","",ABS(E909-I909))</x:f>
        <x:v>146.875</x:v>
      </x:c>
      <x:c r="M909" s="23" t="str">
        <x:f>IF(B909&gt;44,"Validation","Training")</x:f>
        <x:v>Training</x:v>
      </x:c>
      <x:c r="N909" s="61" t="n">
        <x:f>IF(OR(H909="",E909=0),"",K909/E909)</x:f>
        <x:v>1.2972560975609757</x:v>
      </x:c>
    </x:row>
    <x:row r="910">
      <x:c r="A910" s="28" t="n">
        <x:v>40665</x:v>
      </x:c>
      <x:c r="B910" s="23" t="n">
        <x:v>22</x:v>
      </x:c>
      <x:c r="C910" s="23" t="str">
        <x:v>20725</x:v>
      </x:c>
      <x:c r="D910" s="23" t="str">
        <x:v>LUNCH BAG RED RETROSPOT</x:v>
      </x:c>
      <x:c r="E910" s="34" t="n">
        <x:v>289</x:v>
      </x:c>
      <x:c r="F910" s="55" t="n">
        <x:v>584.42</x:v>
      </x:c>
      <x:c r="G910" s="58" t="n">
        <x:f>E909</x:f>
        <x:v>164</x:v>
      </x:c>
      <x:c r="H910" s="58" t="n">
        <x:f>AVERAGE(E906:E909)</x:f>
        <x:v>271</x:v>
      </x:c>
      <x:c r="I910" s="58" t="n">
        <x:f>AVERAGE(E902:E909)</x:f>
        <x:v>309.5</x:v>
      </x:c>
      <x:c r="J910" s="58" t="n">
        <x:f>IF(G910="","",ABS(E910-G910))</x:f>
        <x:v>125</x:v>
      </x:c>
      <x:c r="K910" s="58" t="n">
        <x:f>IF(H910="","",ABS(E910-H910))</x:f>
        <x:v>18</x:v>
      </x:c>
      <x:c r="L910" s="58" t="n">
        <x:f>IF(I910="","",ABS(E910-I910))</x:f>
        <x:v>20.5</x:v>
      </x:c>
      <x:c r="M910" s="23" t="str">
        <x:f>IF(B910&gt;44,"Validation","Training")</x:f>
        <x:v>Training</x:v>
      </x:c>
      <x:c r="N910" s="61" t="n">
        <x:f>IF(OR(H910="",E910=0),"",K910/E910)</x:f>
        <x:v>0.06228373702422145</x:v>
      </x:c>
    </x:row>
    <x:row r="911">
      <x:c r="A911" s="28" t="n">
        <x:v>40672</x:v>
      </x:c>
      <x:c r="B911" s="23" t="n">
        <x:v>23</x:v>
      </x:c>
      <x:c r="C911" s="23" t="str">
        <x:v>20725</x:v>
      </x:c>
      <x:c r="D911" s="23" t="str">
        <x:v>LUNCH BAG RED RETROSPOT</x:v>
      </x:c>
      <x:c r="E911" s="34" t="n">
        <x:v>885</x:v>
      </x:c>
      <x:c r="F911" s="55" t="n">
        <x:v>1512.49</x:v>
      </x:c>
      <x:c r="G911" s="58" t="n">
        <x:f>E910</x:f>
        <x:v>289</x:v>
      </x:c>
      <x:c r="H911" s="58" t="n">
        <x:f>AVERAGE(E907:E910)</x:f>
        <x:v>281.5</x:v>
      </x:c>
      <x:c r="I911" s="58" t="n">
        <x:f>AVERAGE(E903:E910)</x:f>
        <x:v>327.125</x:v>
      </x:c>
      <x:c r="J911" s="58" t="n">
        <x:f>IF(G911="","",ABS(E911-G911))</x:f>
        <x:v>596</x:v>
      </x:c>
      <x:c r="K911" s="58" t="n">
        <x:f>IF(H911="","",ABS(E911-H911))</x:f>
        <x:v>603.5</x:v>
      </x:c>
      <x:c r="L911" s="58" t="n">
        <x:f>IF(I911="","",ABS(E911-I911))</x:f>
        <x:v>557.875</x:v>
      </x:c>
      <x:c r="M911" s="23" t="str">
        <x:f>IF(B911&gt;44,"Validation","Training")</x:f>
        <x:v>Training</x:v>
      </x:c>
      <x:c r="N911" s="61" t="n">
        <x:f>IF(OR(H911="",E911=0),"",K911/E911)</x:f>
        <x:v>0.6819209039548022</x:v>
      </x:c>
    </x:row>
    <x:row r="912">
      <x:c r="A912" s="28" t="n">
        <x:v>40679</x:v>
      </x:c>
      <x:c r="B912" s="23" t="n">
        <x:v>24</x:v>
      </x:c>
      <x:c r="C912" s="23" t="str">
        <x:v>20725</x:v>
      </x:c>
      <x:c r="D912" s="23" t="str">
        <x:v>LUNCH BAG RED RETROSPOT</x:v>
      </x:c>
      <x:c r="E912" s="34" t="n">
        <x:v>445</x:v>
      </x:c>
      <x:c r="F912" s="55" t="n">
        <x:v>755.55</x:v>
      </x:c>
      <x:c r="G912" s="58" t="n">
        <x:f>E911</x:f>
        <x:v>885</x:v>
      </x:c>
      <x:c r="H912" s="58" t="n">
        <x:f>AVERAGE(E908:E911)</x:f>
        <x:v>426.5</x:v>
      </x:c>
      <x:c r="I912" s="58" t="n">
        <x:f>AVERAGE(E904:E911)</x:f>
        <x:v>403</x:v>
      </x:c>
      <x:c r="J912" s="58" t="n">
        <x:f>IF(G912="","",ABS(E912-G912))</x:f>
        <x:v>440</x:v>
      </x:c>
      <x:c r="K912" s="58" t="n">
        <x:f>IF(H912="","",ABS(E912-H912))</x:f>
        <x:v>18.5</x:v>
      </x:c>
      <x:c r="L912" s="58" t="n">
        <x:f>IF(I912="","",ABS(E912-I912))</x:f>
        <x:v>42</x:v>
      </x:c>
      <x:c r="M912" s="23" t="str">
        <x:f>IF(B912&gt;44,"Validation","Training")</x:f>
        <x:v>Training</x:v>
      </x:c>
      <x:c r="N912" s="61" t="n">
        <x:f>IF(OR(H912="",E912=0),"",K912/E912)</x:f>
        <x:v>0.04157303370786517</x:v>
      </x:c>
    </x:row>
    <x:row r="913">
      <x:c r="A913" s="28" t="n">
        <x:v>40686</x:v>
      </x:c>
      <x:c r="B913" s="23" t="n">
        <x:v>25</x:v>
      </x:c>
      <x:c r="C913" s="23" t="str">
        <x:v>20725</x:v>
      </x:c>
      <x:c r="D913" s="23" t="str">
        <x:v>LUNCH BAG RED RETROSPOT</x:v>
      </x:c>
      <x:c r="E913" s="34" t="n">
        <x:v>684</x:v>
      </x:c>
      <x:c r="F913" s="55" t="n">
        <x:v>1205.82</x:v>
      </x:c>
      <x:c r="G913" s="58" t="n">
        <x:f>E912</x:f>
        <x:v>445</x:v>
      </x:c>
      <x:c r="H913" s="58" t="n">
        <x:f>AVERAGE(E909:E912)</x:f>
        <x:v>445.75</x:v>
      </x:c>
      <x:c r="I913" s="58" t="n">
        <x:f>AVERAGE(E905:E912)</x:f>
        <x:v>411.25</x:v>
      </x:c>
      <x:c r="J913" s="58" t="n">
        <x:f>IF(G913="","",ABS(E913-G913))</x:f>
        <x:v>239</x:v>
      </x:c>
      <x:c r="K913" s="58" t="n">
        <x:f>IF(H913="","",ABS(E913-H913))</x:f>
        <x:v>238.25</x:v>
      </x:c>
      <x:c r="L913" s="58" t="n">
        <x:f>IF(I913="","",ABS(E913-I913))</x:f>
        <x:v>272.75</x:v>
      </x:c>
      <x:c r="M913" s="23" t="str">
        <x:f>IF(B913&gt;44,"Validation","Training")</x:f>
        <x:v>Training</x:v>
      </x:c>
      <x:c r="N913" s="61" t="n">
        <x:f>IF(OR(H913="",E913=0),"",K913/E913)</x:f>
        <x:v>0.3483187134502924</x:v>
      </x:c>
    </x:row>
    <x:row r="914">
      <x:c r="A914" s="28" t="n">
        <x:v>40693</x:v>
      </x:c>
      <x:c r="B914" s="23" t="n">
        <x:v>26</x:v>
      </x:c>
      <x:c r="C914" s="23" t="str">
        <x:v>20725</x:v>
      </x:c>
      <x:c r="D914" s="23" t="str">
        <x:v>LUNCH BAG RED RETROSPOT</x:v>
      </x:c>
      <x:c r="E914" s="34" t="n">
        <x:v>184</x:v>
      </x:c>
      <x:c r="F914" s="55" t="n">
        <x:v>339.18</x:v>
      </x:c>
      <x:c r="G914" s="58" t="n">
        <x:f>E913</x:f>
        <x:v>684</x:v>
      </x:c>
      <x:c r="H914" s="58" t="n">
        <x:f>AVERAGE(E910:E913)</x:f>
        <x:v>575.75</x:v>
      </x:c>
      <x:c r="I914" s="58" t="n">
        <x:f>AVERAGE(E906:E913)</x:f>
        <x:v>423.375</x:v>
      </x:c>
      <x:c r="J914" s="58" t="n">
        <x:f>IF(G914="","",ABS(E914-G914))</x:f>
        <x:v>500</x:v>
      </x:c>
      <x:c r="K914" s="58" t="n">
        <x:f>IF(H914="","",ABS(E914-H914))</x:f>
        <x:v>391.75</x:v>
      </x:c>
      <x:c r="L914" s="58" t="n">
        <x:f>IF(I914="","",ABS(E914-I914))</x:f>
        <x:v>239.375</x:v>
      </x:c>
      <x:c r="M914" s="23" t="str">
        <x:f>IF(B914&gt;44,"Validation","Training")</x:f>
        <x:v>Training</x:v>
      </x:c>
      <x:c r="N914" s="61" t="n">
        <x:f>IF(OR(H914="",E914=0),"",K914/E914)</x:f>
        <x:v>2.129076086956522</x:v>
      </x:c>
    </x:row>
    <x:row r="915">
      <x:c r="A915" s="28" t="n">
        <x:v>40700</x:v>
      </x:c>
      <x:c r="B915" s="23" t="n">
        <x:v>27</x:v>
      </x:c>
      <x:c r="C915" s="23" t="str">
        <x:v>20725</x:v>
      </x:c>
      <x:c r="D915" s="23" t="str">
        <x:v>LUNCH BAG RED RETROSPOT</x:v>
      </x:c>
      <x:c r="E915" s="34" t="n">
        <x:v>585</x:v>
      </x:c>
      <x:c r="F915" s="55" t="n">
        <x:v>1147.84</x:v>
      </x:c>
      <x:c r="G915" s="58" t="n">
        <x:f>E914</x:f>
        <x:v>184</x:v>
      </x:c>
      <x:c r="H915" s="58" t="n">
        <x:f>AVERAGE(E911:E914)</x:f>
        <x:v>549.5</x:v>
      </x:c>
      <x:c r="I915" s="58" t="n">
        <x:f>AVERAGE(E907:E914)</x:f>
        <x:v>415.5</x:v>
      </x:c>
      <x:c r="J915" s="58" t="n">
        <x:f>IF(G915="","",ABS(E915-G915))</x:f>
        <x:v>401</x:v>
      </x:c>
      <x:c r="K915" s="58" t="n">
        <x:f>IF(H915="","",ABS(E915-H915))</x:f>
        <x:v>35.5</x:v>
      </x:c>
      <x:c r="L915" s="58" t="n">
        <x:f>IF(I915="","",ABS(E915-I915))</x:f>
        <x:v>169.5</x:v>
      </x:c>
      <x:c r="M915" s="23" t="str">
        <x:f>IF(B915&gt;44,"Validation","Training")</x:f>
        <x:v>Training</x:v>
      </x:c>
      <x:c r="N915" s="61" t="n">
        <x:f>IF(OR(H915="",E915=0),"",K915/E915)</x:f>
        <x:v>0.06068376068376068</x:v>
      </x:c>
    </x:row>
    <x:row r="916">
      <x:c r="A916" s="28" t="n">
        <x:v>40707</x:v>
      </x:c>
      <x:c r="B916" s="23" t="n">
        <x:v>28</x:v>
      </x:c>
      <x:c r="C916" s="23" t="str">
        <x:v>20725</x:v>
      </x:c>
      <x:c r="D916" s="23" t="str">
        <x:v>LUNCH BAG RED RETROSPOT</x:v>
      </x:c>
      <x:c r="E916" s="34" t="n">
        <x:v>448</x:v>
      </x:c>
      <x:c r="F916" s="55" t="n">
        <x:v>826.63</x:v>
      </x:c>
      <x:c r="G916" s="58" t="n">
        <x:f>E915</x:f>
        <x:v>585</x:v>
      </x:c>
      <x:c r="H916" s="58" t="n">
        <x:f>AVERAGE(E912:E915)</x:f>
        <x:v>474.5</x:v>
      </x:c>
      <x:c r="I916" s="58" t="n">
        <x:f>AVERAGE(E908:E915)</x:f>
        <x:v>450.5</x:v>
      </x:c>
      <x:c r="J916" s="58" t="n">
        <x:f>IF(G916="","",ABS(E916-G916))</x:f>
        <x:v>137</x:v>
      </x:c>
      <x:c r="K916" s="58" t="n">
        <x:f>IF(H916="","",ABS(E916-H916))</x:f>
        <x:v>26.5</x:v>
      </x:c>
      <x:c r="L916" s="58" t="n">
        <x:f>IF(I916="","",ABS(E916-I916))</x:f>
        <x:v>2.5</x:v>
      </x:c>
      <x:c r="M916" s="23" t="str">
        <x:f>IF(B916&gt;44,"Validation","Training")</x:f>
        <x:v>Training</x:v>
      </x:c>
      <x:c r="N916" s="61" t="n">
        <x:f>IF(OR(H916="",E916=0),"",K916/E916)</x:f>
        <x:v>0.05915178571428571</x:v>
      </x:c>
    </x:row>
    <x:row r="917">
      <x:c r="A917" s="28" t="n">
        <x:v>40714</x:v>
      </x:c>
      <x:c r="B917" s="23" t="n">
        <x:v>29</x:v>
      </x:c>
      <x:c r="C917" s="23" t="str">
        <x:v>20725</x:v>
      </x:c>
      <x:c r="D917" s="23" t="str">
        <x:v>LUNCH BAG RED RETROSPOT</x:v>
      </x:c>
      <x:c r="E917" s="34" t="n">
        <x:v>238</x:v>
      </x:c>
      <x:c r="F917" s="55" t="n">
        <x:v>480.41</x:v>
      </x:c>
      <x:c r="G917" s="58" t="n">
        <x:f>E916</x:f>
        <x:v>448</x:v>
      </x:c>
      <x:c r="H917" s="58" t="n">
        <x:f>AVERAGE(E913:E916)</x:f>
        <x:v>475.25</x:v>
      </x:c>
      <x:c r="I917" s="58" t="n">
        <x:f>AVERAGE(E909:E916)</x:f>
        <x:v>460.5</x:v>
      </x:c>
      <x:c r="J917" s="58" t="n">
        <x:f>IF(G917="","",ABS(E917-G917))</x:f>
        <x:v>210</x:v>
      </x:c>
      <x:c r="K917" s="58" t="n">
        <x:f>IF(H917="","",ABS(E917-H917))</x:f>
        <x:v>237.25</x:v>
      </x:c>
      <x:c r="L917" s="58" t="n">
        <x:f>IF(I917="","",ABS(E917-I917))</x:f>
        <x:v>222.5</x:v>
      </x:c>
      <x:c r="M917" s="23" t="str">
        <x:f>IF(B917&gt;44,"Validation","Training")</x:f>
        <x:v>Training</x:v>
      </x:c>
      <x:c r="N917" s="61" t="n">
        <x:f>IF(OR(H917="",E917=0),"",K917/E917)</x:f>
        <x:v>0.9968487394957983</x:v>
      </x:c>
    </x:row>
    <x:row r="918">
      <x:c r="A918" s="28" t="n">
        <x:v>40721</x:v>
      </x:c>
      <x:c r="B918" s="23" t="n">
        <x:v>30</x:v>
      </x:c>
      <x:c r="C918" s="23" t="str">
        <x:v>20725</x:v>
      </x:c>
      <x:c r="D918" s="23" t="str">
        <x:v>LUNCH BAG RED RETROSPOT</x:v>
      </x:c>
      <x:c r="E918" s="34" t="n">
        <x:v>303</x:v>
      </x:c>
      <x:c r="F918" s="55" t="n">
        <x:v>541.18</x:v>
      </x:c>
      <x:c r="G918" s="58" t="n">
        <x:f>E917</x:f>
        <x:v>238</x:v>
      </x:c>
      <x:c r="H918" s="58" t="n">
        <x:f>AVERAGE(E914:E917)</x:f>
        <x:v>363.75</x:v>
      </x:c>
      <x:c r="I918" s="58" t="n">
        <x:f>AVERAGE(E910:E917)</x:f>
        <x:v>469.75</x:v>
      </x:c>
      <x:c r="J918" s="58" t="n">
        <x:f>IF(G918="","",ABS(E918-G918))</x:f>
        <x:v>65</x:v>
      </x:c>
      <x:c r="K918" s="58" t="n">
        <x:f>IF(H918="","",ABS(E918-H918))</x:f>
        <x:v>60.75</x:v>
      </x:c>
      <x:c r="L918" s="58" t="n">
        <x:f>IF(I918="","",ABS(E918-I918))</x:f>
        <x:v>166.75</x:v>
      </x:c>
      <x:c r="M918" s="23" t="str">
        <x:f>IF(B918&gt;44,"Validation","Training")</x:f>
        <x:v>Training</x:v>
      </x:c>
      <x:c r="N918" s="61" t="n">
        <x:f>IF(OR(H918="",E918=0),"",K918/E918)</x:f>
        <x:v>0.2004950495049505</x:v>
      </x:c>
    </x:row>
    <x:row r="919">
      <x:c r="A919" s="28" t="n">
        <x:v>40728</x:v>
      </x:c>
      <x:c r="B919" s="23" t="n">
        <x:v>31</x:v>
      </x:c>
      <x:c r="C919" s="23" t="str">
        <x:v>20725</x:v>
      </x:c>
      <x:c r="D919" s="23" t="str">
        <x:v>LUNCH BAG RED RETROSPOT</x:v>
      </x:c>
      <x:c r="E919" s="34" t="n">
        <x:v>440</x:v>
      </x:c>
      <x:c r="F919" s="55" t="n">
        <x:v>703.36</x:v>
      </x:c>
      <x:c r="G919" s="58" t="n">
        <x:f>E918</x:f>
        <x:v>303</x:v>
      </x:c>
      <x:c r="H919" s="58" t="n">
        <x:f>AVERAGE(E915:E918)</x:f>
        <x:v>393.5</x:v>
      </x:c>
      <x:c r="I919" s="58" t="n">
        <x:f>AVERAGE(E911:E918)</x:f>
        <x:v>471.5</x:v>
      </x:c>
      <x:c r="J919" s="58" t="n">
        <x:f>IF(G919="","",ABS(E919-G919))</x:f>
        <x:v>137</x:v>
      </x:c>
      <x:c r="K919" s="58" t="n">
        <x:f>IF(H919="","",ABS(E919-H919))</x:f>
        <x:v>46.5</x:v>
      </x:c>
      <x:c r="L919" s="58" t="n">
        <x:f>IF(I919="","",ABS(E919-I919))</x:f>
        <x:v>31.5</x:v>
      </x:c>
      <x:c r="M919" s="23" t="str">
        <x:f>IF(B919&gt;44,"Validation","Training")</x:f>
        <x:v>Training</x:v>
      </x:c>
      <x:c r="N919" s="61" t="n">
        <x:f>IF(OR(H919="",E919=0),"",K919/E919)</x:f>
        <x:v>0.10568181818181818</x:v>
      </x:c>
    </x:row>
    <x:row r="920">
      <x:c r="A920" s="28" t="n">
        <x:v>40735</x:v>
      </x:c>
      <x:c r="B920" s="23" t="n">
        <x:v>32</x:v>
      </x:c>
      <x:c r="C920" s="23" t="str">
        <x:v>20725</x:v>
      </x:c>
      <x:c r="D920" s="23" t="str">
        <x:v>LUNCH BAG RED RETROSPOT</x:v>
      </x:c>
      <x:c r="E920" s="34" t="n">
        <x:v>231</x:v>
      </x:c>
      <x:c r="F920" s="55" t="n">
        <x:v>386.11</x:v>
      </x:c>
      <x:c r="G920" s="58" t="n">
        <x:f>E919</x:f>
        <x:v>440</x:v>
      </x:c>
      <x:c r="H920" s="58" t="n">
        <x:f>AVERAGE(E916:E919)</x:f>
        <x:v>357.25</x:v>
      </x:c>
      <x:c r="I920" s="58" t="n">
        <x:f>AVERAGE(E912:E919)</x:f>
        <x:v>415.875</x:v>
      </x:c>
      <x:c r="J920" s="58" t="n">
        <x:f>IF(G920="","",ABS(E920-G920))</x:f>
        <x:v>209</x:v>
      </x:c>
      <x:c r="K920" s="58" t="n">
        <x:f>IF(H920="","",ABS(E920-H920))</x:f>
        <x:v>126.25</x:v>
      </x:c>
      <x:c r="L920" s="58" t="n">
        <x:f>IF(I920="","",ABS(E920-I920))</x:f>
        <x:v>184.875</x:v>
      </x:c>
      <x:c r="M920" s="23" t="str">
        <x:f>IF(B920&gt;44,"Validation","Training")</x:f>
        <x:v>Training</x:v>
      </x:c>
      <x:c r="N920" s="61" t="n">
        <x:f>IF(OR(H920="",E920=0),"",K920/E920)</x:f>
        <x:v>0.5465367965367965</x:v>
      </x:c>
    </x:row>
    <x:row r="921">
      <x:c r="A921" s="28" t="n">
        <x:v>40742</x:v>
      </x:c>
      <x:c r="B921" s="23" t="n">
        <x:v>33</x:v>
      </x:c>
      <x:c r="C921" s="23" t="str">
        <x:v>20725</x:v>
      </x:c>
      <x:c r="D921" s="23" t="str">
        <x:v>LUNCH BAG RED RETROSPOT</x:v>
      </x:c>
      <x:c r="E921" s="34" t="n">
        <x:v>596</x:v>
      </x:c>
      <x:c r="F921" s="55" t="n">
        <x:v>999.25</x:v>
      </x:c>
      <x:c r="G921" s="58" t="n">
        <x:f>E920</x:f>
        <x:v>231</x:v>
      </x:c>
      <x:c r="H921" s="58" t="n">
        <x:f>AVERAGE(E917:E920)</x:f>
        <x:v>303</x:v>
      </x:c>
      <x:c r="I921" s="58" t="n">
        <x:f>AVERAGE(E913:E920)</x:f>
        <x:v>389.125</x:v>
      </x:c>
      <x:c r="J921" s="58" t="n">
        <x:f>IF(G921="","",ABS(E921-G921))</x:f>
        <x:v>365</x:v>
      </x:c>
      <x:c r="K921" s="58" t="n">
        <x:f>IF(H921="","",ABS(E921-H921))</x:f>
        <x:v>293</x:v>
      </x:c>
      <x:c r="L921" s="58" t="n">
        <x:f>IF(I921="","",ABS(E921-I921))</x:f>
        <x:v>206.875</x:v>
      </x:c>
      <x:c r="M921" s="23" t="str">
        <x:f>IF(B921&gt;44,"Validation","Training")</x:f>
        <x:v>Training</x:v>
      </x:c>
      <x:c r="N921" s="61" t="n">
        <x:f>IF(OR(H921="",E921=0),"",K921/E921)</x:f>
        <x:v>0.49161073825503354</x:v>
      </x:c>
    </x:row>
    <x:row r="922">
      <x:c r="A922" s="28" t="n">
        <x:v>40749</x:v>
      </x:c>
      <x:c r="B922" s="23" t="n">
        <x:v>34</x:v>
      </x:c>
      <x:c r="C922" s="23" t="str">
        <x:v>20725</x:v>
      </x:c>
      <x:c r="D922" s="23" t="str">
        <x:v>LUNCH BAG RED RETROSPOT</x:v>
      </x:c>
      <x:c r="E922" s="34" t="n">
        <x:v>385</x:v>
      </x:c>
      <x:c r="F922" s="55" t="n">
        <x:v>710.41</x:v>
      </x:c>
      <x:c r="G922" s="58" t="n">
        <x:f>E921</x:f>
        <x:v>596</x:v>
      </x:c>
      <x:c r="H922" s="58" t="n">
        <x:f>AVERAGE(E918:E921)</x:f>
        <x:v>392.5</x:v>
      </x:c>
      <x:c r="I922" s="58" t="n">
        <x:f>AVERAGE(E914:E921)</x:f>
        <x:v>378.125</x:v>
      </x:c>
      <x:c r="J922" s="58" t="n">
        <x:f>IF(G922="","",ABS(E922-G922))</x:f>
        <x:v>211</x:v>
      </x:c>
      <x:c r="K922" s="58" t="n">
        <x:f>IF(H922="","",ABS(E922-H922))</x:f>
        <x:v>7.5</x:v>
      </x:c>
      <x:c r="L922" s="58" t="n">
        <x:f>IF(I922="","",ABS(E922-I922))</x:f>
        <x:v>6.875</x:v>
      </x:c>
      <x:c r="M922" s="23" t="str">
        <x:f>IF(B922&gt;44,"Validation","Training")</x:f>
        <x:v>Training</x:v>
      </x:c>
      <x:c r="N922" s="61" t="n">
        <x:f>IF(OR(H922="",E922=0),"",K922/E922)</x:f>
        <x:v>0.01948051948051948</x:v>
      </x:c>
    </x:row>
    <x:row r="923">
      <x:c r="A923" s="28" t="n">
        <x:v>40756</x:v>
      </x:c>
      <x:c r="B923" s="23" t="n">
        <x:v>35</x:v>
      </x:c>
      <x:c r="C923" s="23" t="str">
        <x:v>20725</x:v>
      </x:c>
      <x:c r="D923" s="23" t="str">
        <x:v>LUNCH BAG RED RETROSPOT</x:v>
      </x:c>
      <x:c r="E923" s="34" t="n">
        <x:v>603</x:v>
      </x:c>
      <x:c r="F923" s="55" t="n">
        <x:v>1077.53</x:v>
      </x:c>
      <x:c r="G923" s="58" t="n">
        <x:f>E922</x:f>
        <x:v>385</x:v>
      </x:c>
      <x:c r="H923" s="58" t="n">
        <x:f>AVERAGE(E919:E922)</x:f>
        <x:v>413</x:v>
      </x:c>
      <x:c r="I923" s="58" t="n">
        <x:f>AVERAGE(E915:E922)</x:f>
        <x:v>403.25</x:v>
      </x:c>
      <x:c r="J923" s="58" t="n">
        <x:f>IF(G923="","",ABS(E923-G923))</x:f>
        <x:v>218</x:v>
      </x:c>
      <x:c r="K923" s="58" t="n">
        <x:f>IF(H923="","",ABS(E923-H923))</x:f>
        <x:v>190</x:v>
      </x:c>
      <x:c r="L923" s="58" t="n">
        <x:f>IF(I923="","",ABS(E923-I923))</x:f>
        <x:v>199.75</x:v>
      </x:c>
      <x:c r="M923" s="23" t="str">
        <x:f>IF(B923&gt;44,"Validation","Training")</x:f>
        <x:v>Training</x:v>
      </x:c>
      <x:c r="N923" s="61" t="n">
        <x:f>IF(OR(H923="",E923=0),"",K923/E923)</x:f>
        <x:v>0.3150912106135987</x:v>
      </x:c>
    </x:row>
    <x:row r="924">
      <x:c r="A924" s="28" t="n">
        <x:v>40763</x:v>
      </x:c>
      <x:c r="B924" s="23" t="n">
        <x:v>36</x:v>
      </x:c>
      <x:c r="C924" s="23" t="str">
        <x:v>20725</x:v>
      </x:c>
      <x:c r="D924" s="23" t="str">
        <x:v>LUNCH BAG RED RETROSPOT</x:v>
      </x:c>
      <x:c r="E924" s="34" t="n">
        <x:v>725</x:v>
      </x:c>
      <x:c r="F924" s="55" t="n">
        <x:v>1353.04</x:v>
      </x:c>
      <x:c r="G924" s="58" t="n">
        <x:f>E923</x:f>
        <x:v>603</x:v>
      </x:c>
      <x:c r="H924" s="58" t="n">
        <x:f>AVERAGE(E920:E923)</x:f>
        <x:v>453.75</x:v>
      </x:c>
      <x:c r="I924" s="58" t="n">
        <x:f>AVERAGE(E916:E923)</x:f>
        <x:v>405.5</x:v>
      </x:c>
      <x:c r="J924" s="58" t="n">
        <x:f>IF(G924="","",ABS(E924-G924))</x:f>
        <x:v>122</x:v>
      </x:c>
      <x:c r="K924" s="58" t="n">
        <x:f>IF(H924="","",ABS(E924-H924))</x:f>
        <x:v>271.25</x:v>
      </x:c>
      <x:c r="L924" s="58" t="n">
        <x:f>IF(I924="","",ABS(E924-I924))</x:f>
        <x:v>319.5</x:v>
      </x:c>
      <x:c r="M924" s="23" t="str">
        <x:f>IF(B924&gt;44,"Validation","Training")</x:f>
        <x:v>Training</x:v>
      </x:c>
      <x:c r="N924" s="61" t="n">
        <x:f>IF(OR(H924="",E924=0),"",K924/E924)</x:f>
        <x:v>0.3741379310344828</x:v>
      </x:c>
    </x:row>
    <x:row r="925">
      <x:c r="A925" s="28" t="n">
        <x:v>40770</x:v>
      </x:c>
      <x:c r="B925" s="23" t="n">
        <x:v>37</x:v>
      </x:c>
      <x:c r="C925" s="23" t="str">
        <x:v>20725</x:v>
      </x:c>
      <x:c r="D925" s="23" t="str">
        <x:v>LUNCH BAG RED RETROSPOT</x:v>
      </x:c>
      <x:c r="E925" s="34" t="n">
        <x:v>433</x:v>
      </x:c>
      <x:c r="F925" s="55" t="n">
        <x:v>807.13</x:v>
      </x:c>
      <x:c r="G925" s="58" t="n">
        <x:f>E924</x:f>
        <x:v>725</x:v>
      </x:c>
      <x:c r="H925" s="58" t="n">
        <x:f>AVERAGE(E921:E924)</x:f>
        <x:v>577.25</x:v>
      </x:c>
      <x:c r="I925" s="58" t="n">
        <x:f>AVERAGE(E917:E924)</x:f>
        <x:v>440.125</x:v>
      </x:c>
      <x:c r="J925" s="58" t="n">
        <x:f>IF(G925="","",ABS(E925-G925))</x:f>
        <x:v>292</x:v>
      </x:c>
      <x:c r="K925" s="58" t="n">
        <x:f>IF(H925="","",ABS(E925-H925))</x:f>
        <x:v>144.25</x:v>
      </x:c>
      <x:c r="L925" s="58" t="n">
        <x:f>IF(I925="","",ABS(E925-I925))</x:f>
        <x:v>7.125</x:v>
      </x:c>
      <x:c r="M925" s="23" t="str">
        <x:f>IF(B925&gt;44,"Validation","Training")</x:f>
        <x:v>Training</x:v>
      </x:c>
      <x:c r="N925" s="61" t="n">
        <x:f>IF(OR(H925="",E925=0),"",K925/E925)</x:f>
        <x:v>0.3331408775981524</x:v>
      </x:c>
    </x:row>
    <x:row r="926">
      <x:c r="A926" s="28" t="n">
        <x:v>40777</x:v>
      </x:c>
      <x:c r="B926" s="23" t="n">
        <x:v>38</x:v>
      </x:c>
      <x:c r="C926" s="23" t="str">
        <x:v>20725</x:v>
      </x:c>
      <x:c r="D926" s="23" t="str">
        <x:v>LUNCH BAG RED RETROSPOT</x:v>
      </x:c>
      <x:c r="E926" s="34" t="n">
        <x:v>341</x:v>
      </x:c>
      <x:c r="F926" s="55" t="n">
        <x:v>661.95</x:v>
      </x:c>
      <x:c r="G926" s="58" t="n">
        <x:f>E925</x:f>
        <x:v>433</x:v>
      </x:c>
      <x:c r="H926" s="58" t="n">
        <x:f>AVERAGE(E922:E925)</x:f>
        <x:v>536.5</x:v>
      </x:c>
      <x:c r="I926" s="58" t="n">
        <x:f>AVERAGE(E918:E925)</x:f>
        <x:v>464.5</x:v>
      </x:c>
      <x:c r="J926" s="58" t="n">
        <x:f>IF(G926="","",ABS(E926-G926))</x:f>
        <x:v>92</x:v>
      </x:c>
      <x:c r="K926" s="58" t="n">
        <x:f>IF(H926="","",ABS(E926-H926))</x:f>
        <x:v>195.5</x:v>
      </x:c>
      <x:c r="L926" s="58" t="n">
        <x:f>IF(I926="","",ABS(E926-I926))</x:f>
        <x:v>123.5</x:v>
      </x:c>
      <x:c r="M926" s="23" t="str">
        <x:f>IF(B926&gt;44,"Validation","Training")</x:f>
        <x:v>Training</x:v>
      </x:c>
      <x:c r="N926" s="61" t="n">
        <x:f>IF(OR(H926="",E926=0),"",K926/E926)</x:f>
        <x:v>0.5733137829912024</x:v>
      </x:c>
    </x:row>
    <x:row r="927">
      <x:c r="A927" s="28" t="n">
        <x:v>40784</x:v>
      </x:c>
      <x:c r="B927" s="23" t="n">
        <x:v>39</x:v>
      </x:c>
      <x:c r="C927" s="23" t="str">
        <x:v>20725</x:v>
      </x:c>
      <x:c r="D927" s="23" t="str">
        <x:v>LUNCH BAG RED RETROSPOT</x:v>
      </x:c>
      <x:c r="E927" s="34" t="n">
        <x:v>202</x:v>
      </x:c>
      <x:c r="F927" s="55" t="n">
        <x:v>372.98</x:v>
      </x:c>
      <x:c r="G927" s="58" t="n">
        <x:f>E926</x:f>
        <x:v>341</x:v>
      </x:c>
      <x:c r="H927" s="58" t="n">
        <x:f>AVERAGE(E923:E926)</x:f>
        <x:v>525.5</x:v>
      </x:c>
      <x:c r="I927" s="58" t="n">
        <x:f>AVERAGE(E919:E926)</x:f>
        <x:v>469.25</x:v>
      </x:c>
      <x:c r="J927" s="58" t="n">
        <x:f>IF(G927="","",ABS(E927-G927))</x:f>
        <x:v>139</x:v>
      </x:c>
      <x:c r="K927" s="58" t="n">
        <x:f>IF(H927="","",ABS(E927-H927))</x:f>
        <x:v>323.5</x:v>
      </x:c>
      <x:c r="L927" s="58" t="n">
        <x:f>IF(I927="","",ABS(E927-I927))</x:f>
        <x:v>267.25</x:v>
      </x:c>
      <x:c r="M927" s="23" t="str">
        <x:f>IF(B927&gt;44,"Validation","Training")</x:f>
        <x:v>Training</x:v>
      </x:c>
      <x:c r="N927" s="61" t="n">
        <x:f>IF(OR(H927="",E927=0),"",K927/E927)</x:f>
        <x:v>1.6014851485148516</x:v>
      </x:c>
    </x:row>
    <x:row r="928">
      <x:c r="A928" s="28" t="n">
        <x:v>40791</x:v>
      </x:c>
      <x:c r="B928" s="23" t="n">
        <x:v>40</x:v>
      </x:c>
      <x:c r="C928" s="23" t="str">
        <x:v>20725</x:v>
      </x:c>
      <x:c r="D928" s="23" t="str">
        <x:v>LUNCH BAG RED RETROSPOT</x:v>
      </x:c>
      <x:c r="E928" s="34" t="n">
        <x:v>524</x:v>
      </x:c>
      <x:c r="F928" s="55" t="n">
        <x:v>831.88</x:v>
      </x:c>
      <x:c r="G928" s="58" t="n">
        <x:f>E927</x:f>
        <x:v>202</x:v>
      </x:c>
      <x:c r="H928" s="58" t="n">
        <x:f>AVERAGE(E924:E927)</x:f>
        <x:v>425.25</x:v>
      </x:c>
      <x:c r="I928" s="58" t="n">
        <x:f>AVERAGE(E920:E927)</x:f>
        <x:v>439.5</x:v>
      </x:c>
      <x:c r="J928" s="58" t="n">
        <x:f>IF(G928="","",ABS(E928-G928))</x:f>
        <x:v>322</x:v>
      </x:c>
      <x:c r="K928" s="58" t="n">
        <x:f>IF(H928="","",ABS(E928-H928))</x:f>
        <x:v>98.75</x:v>
      </x:c>
      <x:c r="L928" s="58" t="n">
        <x:f>IF(I928="","",ABS(E928-I928))</x:f>
        <x:v>84.5</x:v>
      </x:c>
      <x:c r="M928" s="23" t="str">
        <x:f>IF(B928&gt;44,"Validation","Training")</x:f>
        <x:v>Training</x:v>
      </x:c>
      <x:c r="N928" s="61" t="n">
        <x:f>IF(OR(H928="",E928=0),"",K928/E928)</x:f>
        <x:v>0.18845419847328243</x:v>
      </x:c>
    </x:row>
    <x:row r="929">
      <x:c r="A929" s="28" t="n">
        <x:v>40798</x:v>
      </x:c>
      <x:c r="B929" s="23" t="n">
        <x:v>41</x:v>
      </x:c>
      <x:c r="C929" s="23" t="str">
        <x:v>20725</x:v>
      </x:c>
      <x:c r="D929" s="23" t="str">
        <x:v>LUNCH BAG RED RETROSPOT</x:v>
      </x:c>
      <x:c r="E929" s="34" t="n">
        <x:v>329</x:v>
      </x:c>
      <x:c r="F929" s="55" t="n">
        <x:v>544.35</x:v>
      </x:c>
      <x:c r="G929" s="58" t="n">
        <x:f>E928</x:f>
        <x:v>524</x:v>
      </x:c>
      <x:c r="H929" s="58" t="n">
        <x:f>AVERAGE(E925:E928)</x:f>
        <x:v>375</x:v>
      </x:c>
      <x:c r="I929" s="58" t="n">
        <x:f>AVERAGE(E921:E928)</x:f>
        <x:v>476.125</x:v>
      </x:c>
      <x:c r="J929" s="58" t="n">
        <x:f>IF(G929="","",ABS(E929-G929))</x:f>
        <x:v>195</x:v>
      </x:c>
      <x:c r="K929" s="58" t="n">
        <x:f>IF(H929="","",ABS(E929-H929))</x:f>
        <x:v>46</x:v>
      </x:c>
      <x:c r="L929" s="58" t="n">
        <x:f>IF(I929="","",ABS(E929-I929))</x:f>
        <x:v>147.125</x:v>
      </x:c>
      <x:c r="M929" s="23" t="str">
        <x:f>IF(B929&gt;44,"Validation","Training")</x:f>
        <x:v>Training</x:v>
      </x:c>
      <x:c r="N929" s="61" t="n">
        <x:f>IF(OR(H929="",E929=0),"",K929/E929)</x:f>
        <x:v>0.1398176291793313</x:v>
      </x:c>
    </x:row>
    <x:row r="930">
      <x:c r="A930" s="28" t="n">
        <x:v>40805</x:v>
      </x:c>
      <x:c r="B930" s="23" t="n">
        <x:v>42</x:v>
      </x:c>
      <x:c r="C930" s="23" t="str">
        <x:v>20725</x:v>
      </x:c>
      <x:c r="D930" s="23" t="str">
        <x:v>LUNCH BAG RED RETROSPOT</x:v>
      </x:c>
      <x:c r="E930" s="34" t="n">
        <x:v>492</x:v>
      </x:c>
      <x:c r="F930" s="55" t="n">
        <x:v>821.57</x:v>
      </x:c>
      <x:c r="G930" s="58" t="n">
        <x:f>E929</x:f>
        <x:v>329</x:v>
      </x:c>
      <x:c r="H930" s="58" t="n">
        <x:f>AVERAGE(E926:E929)</x:f>
        <x:v>349</x:v>
      </x:c>
      <x:c r="I930" s="58" t="n">
        <x:f>AVERAGE(E922:E929)</x:f>
        <x:v>442.75</x:v>
      </x:c>
      <x:c r="J930" s="58" t="n">
        <x:f>IF(G930="","",ABS(E930-G930))</x:f>
        <x:v>163</x:v>
      </x:c>
      <x:c r="K930" s="58" t="n">
        <x:f>IF(H930="","",ABS(E930-H930))</x:f>
        <x:v>143</x:v>
      </x:c>
      <x:c r="L930" s="58" t="n">
        <x:f>IF(I930="","",ABS(E930-I930))</x:f>
        <x:v>49.25</x:v>
      </x:c>
      <x:c r="M930" s="23" t="str">
        <x:f>IF(B930&gt;44,"Validation","Training")</x:f>
        <x:v>Training</x:v>
      </x:c>
      <x:c r="N930" s="61" t="n">
        <x:f>IF(OR(H930="",E930=0),"",K930/E930)</x:f>
        <x:v>0.29065040650406504</x:v>
      </x:c>
    </x:row>
    <x:row r="931">
      <x:c r="A931" s="28" t="n">
        <x:v>40812</x:v>
      </x:c>
      <x:c r="B931" s="23" t="n">
        <x:v>43</x:v>
      </x:c>
      <x:c r="C931" s="23" t="str">
        <x:v>20725</x:v>
      </x:c>
      <x:c r="D931" s="23" t="str">
        <x:v>LUNCH BAG RED RETROSPOT</x:v>
      </x:c>
      <x:c r="E931" s="34" t="n">
        <x:v>318</x:v>
      </x:c>
      <x:c r="F931" s="55" t="n">
        <x:v>621.5</x:v>
      </x:c>
      <x:c r="G931" s="58" t="n">
        <x:f>E930</x:f>
        <x:v>492</x:v>
      </x:c>
      <x:c r="H931" s="58" t="n">
        <x:f>AVERAGE(E927:E930)</x:f>
        <x:v>386.75</x:v>
      </x:c>
      <x:c r="I931" s="58" t="n">
        <x:f>AVERAGE(E923:E930)</x:f>
        <x:v>456.125</x:v>
      </x:c>
      <x:c r="J931" s="58" t="n">
        <x:f>IF(G931="","",ABS(E931-G931))</x:f>
        <x:v>174</x:v>
      </x:c>
      <x:c r="K931" s="58" t="n">
        <x:f>IF(H931="","",ABS(E931-H931))</x:f>
        <x:v>68.75</x:v>
      </x:c>
      <x:c r="L931" s="58" t="n">
        <x:f>IF(I931="","",ABS(E931-I931))</x:f>
        <x:v>138.125</x:v>
      </x:c>
      <x:c r="M931" s="23" t="str">
        <x:f>IF(B931&gt;44,"Validation","Training")</x:f>
        <x:v>Training</x:v>
      </x:c>
      <x:c r="N931" s="61" t="n">
        <x:f>IF(OR(H931="",E931=0),"",K931/E931)</x:f>
        <x:v>0.21619496855345913</x:v>
      </x:c>
    </x:row>
    <x:row r="932">
      <x:c r="A932" s="28" t="n">
        <x:v>40819</x:v>
      </x:c>
      <x:c r="B932" s="23" t="n">
        <x:v>44</x:v>
      </x:c>
      <x:c r="C932" s="23" t="str">
        <x:v>20725</x:v>
      </x:c>
      <x:c r="D932" s="23" t="str">
        <x:v>LUNCH BAG RED RETROSPOT</x:v>
      </x:c>
      <x:c r="E932" s="34" t="n">
        <x:v>322</x:v>
      </x:c>
      <x:c r="F932" s="55" t="n">
        <x:v>805.19</x:v>
      </x:c>
      <x:c r="G932" s="58" t="n">
        <x:f>E931</x:f>
        <x:v>318</x:v>
      </x:c>
      <x:c r="H932" s="58" t="n">
        <x:f>AVERAGE(E928:E931)</x:f>
        <x:v>415.75</x:v>
      </x:c>
      <x:c r="I932" s="58" t="n">
        <x:f>AVERAGE(E924:E931)</x:f>
        <x:v>420.5</x:v>
      </x:c>
      <x:c r="J932" s="58" t="n">
        <x:f>IF(G932="","",ABS(E932-G932))</x:f>
        <x:v>4</x:v>
      </x:c>
      <x:c r="K932" s="58" t="n">
        <x:f>IF(H932="","",ABS(E932-H932))</x:f>
        <x:v>93.75</x:v>
      </x:c>
      <x:c r="L932" s="58" t="n">
        <x:f>IF(I932="","",ABS(E932-I932))</x:f>
        <x:v>98.5</x:v>
      </x:c>
      <x:c r="M932" s="23" t="str">
        <x:f>IF(B932&gt;44,"Validation","Training")</x:f>
        <x:v>Training</x:v>
      </x:c>
      <x:c r="N932" s="61" t="n">
        <x:f>IF(OR(H932="",E932=0),"",K932/E932)</x:f>
        <x:v>0.2911490683229814</x:v>
      </x:c>
    </x:row>
    <x:row r="933">
      <x:c r="A933" s="28" t="n">
        <x:v>40826</x:v>
      </x:c>
      <x:c r="B933" s="23" t="n">
        <x:v>45</x:v>
      </x:c>
      <x:c r="C933" s="23" t="str">
        <x:v>20725</x:v>
      </x:c>
      <x:c r="D933" s="23" t="str">
        <x:v>LUNCH BAG RED RETROSPOT</x:v>
      </x:c>
      <x:c r="E933" s="34" t="n">
        <x:v>443</x:v>
      </x:c>
      <x:c r="F933" s="55" t="n">
        <x:v>849.91</x:v>
      </x:c>
      <x:c r="G933" s="58" t="n">
        <x:f>E932</x:f>
        <x:v>322</x:v>
      </x:c>
      <x:c r="H933" s="58" t="n">
        <x:f>AVERAGE(E929:E932)</x:f>
        <x:v>365.25</x:v>
      </x:c>
      <x:c r="I933" s="58" t="n">
        <x:f>AVERAGE(E925:E932)</x:f>
        <x:v>370.125</x:v>
      </x:c>
      <x:c r="J933" s="58" t="n">
        <x:f>IF(G933="","",ABS(E933-G933))</x:f>
        <x:v>121</x:v>
      </x:c>
      <x:c r="K933" s="58" t="n">
        <x:f>IF(H933="","",ABS(E933-H933))</x:f>
        <x:v>77.75</x:v>
      </x:c>
      <x:c r="L933" s="58" t="n">
        <x:f>IF(I933="","",ABS(E933-I933))</x:f>
        <x:v>72.875</x:v>
      </x:c>
      <x:c r="M933" s="23" t="str">
        <x:f>IF(B933&gt;44,"Validation","Training")</x:f>
        <x:v>Validation</x:v>
      </x:c>
      <x:c r="N933" s="61" t="n">
        <x:f>IF(OR(H933="",E933=0),"",K933/E933)</x:f>
        <x:v>0.1755079006772009</x:v>
      </x:c>
    </x:row>
    <x:row r="934">
      <x:c r="A934" s="28" t="n">
        <x:v>40833</x:v>
      </x:c>
      <x:c r="B934" s="23" t="n">
        <x:v>46</x:v>
      </x:c>
      <x:c r="C934" s="23" t="str">
        <x:v>20725</x:v>
      </x:c>
      <x:c r="D934" s="23" t="str">
        <x:v>LUNCH BAG RED RETROSPOT</x:v>
      </x:c>
      <x:c r="E934" s="34" t="n">
        <x:v>276</x:v>
      </x:c>
      <x:c r="F934" s="55" t="n">
        <x:v>562.82</x:v>
      </x:c>
      <x:c r="G934" s="58" t="n">
        <x:f>E933</x:f>
        <x:v>443</x:v>
      </x:c>
      <x:c r="H934" s="58" t="n">
        <x:f>AVERAGE(E930:E933)</x:f>
        <x:v>393.75</x:v>
      </x:c>
      <x:c r="I934" s="58" t="n">
        <x:f>AVERAGE(E926:E933)</x:f>
        <x:v>371.375</x:v>
      </x:c>
      <x:c r="J934" s="58" t="n">
        <x:f>IF(G934="","",ABS(E934-G934))</x:f>
        <x:v>167</x:v>
      </x:c>
      <x:c r="K934" s="58" t="n">
        <x:f>IF(H934="","",ABS(E934-H934))</x:f>
        <x:v>117.75</x:v>
      </x:c>
      <x:c r="L934" s="58" t="n">
        <x:f>IF(I934="","",ABS(E934-I934))</x:f>
        <x:v>95.375</x:v>
      </x:c>
      <x:c r="M934" s="23" t="str">
        <x:f>IF(B934&gt;44,"Validation","Training")</x:f>
        <x:v>Validation</x:v>
      </x:c>
      <x:c r="N934" s="61" t="n">
        <x:f>IF(OR(H934="",E934=0),"",K934/E934)</x:f>
        <x:v>0.4266304347826087</x:v>
      </x:c>
    </x:row>
    <x:row r="935">
      <x:c r="A935" s="28" t="n">
        <x:v>40840</x:v>
      </x:c>
      <x:c r="B935" s="23" t="n">
        <x:v>47</x:v>
      </x:c>
      <x:c r="C935" s="23" t="str">
        <x:v>20725</x:v>
      </x:c>
      <x:c r="D935" s="23" t="str">
        <x:v>LUNCH BAG RED RETROSPOT</x:v>
      </x:c>
      <x:c r="E935" s="34" t="n">
        <x:v>314</x:v>
      </x:c>
      <x:c r="F935" s="55" t="n">
        <x:v>570.22</x:v>
      </x:c>
      <x:c r="G935" s="58" t="n">
        <x:f>E934</x:f>
        <x:v>276</x:v>
      </x:c>
      <x:c r="H935" s="58" t="n">
        <x:f>AVERAGE(E931:E934)</x:f>
        <x:v>339.75</x:v>
      </x:c>
      <x:c r="I935" s="58" t="n">
        <x:f>AVERAGE(E927:E934)</x:f>
        <x:v>363.25</x:v>
      </x:c>
      <x:c r="J935" s="58" t="n">
        <x:f>IF(G935="","",ABS(E935-G935))</x:f>
        <x:v>38</x:v>
      </x:c>
      <x:c r="K935" s="58" t="n">
        <x:f>IF(H935="","",ABS(E935-H935))</x:f>
        <x:v>25.75</x:v>
      </x:c>
      <x:c r="L935" s="58" t="n">
        <x:f>IF(I935="","",ABS(E935-I935))</x:f>
        <x:v>49.25</x:v>
      </x:c>
      <x:c r="M935" s="23" t="str">
        <x:f>IF(B935&gt;44,"Validation","Training")</x:f>
        <x:v>Validation</x:v>
      </x:c>
      <x:c r="N935" s="61" t="n">
        <x:f>IF(OR(H935="",E935=0),"",K935/E935)</x:f>
        <x:v>0.08200636942675159</x:v>
      </x:c>
    </x:row>
    <x:row r="936">
      <x:c r="A936" s="28" t="n">
        <x:v>40847</x:v>
      </x:c>
      <x:c r="B936" s="23" t="n">
        <x:v>48</x:v>
      </x:c>
      <x:c r="C936" s="23" t="str">
        <x:v>20725</x:v>
      </x:c>
      <x:c r="D936" s="23" t="str">
        <x:v>LUNCH BAG RED RETROSPOT</x:v>
      </x:c>
      <x:c r="E936" s="34" t="n">
        <x:v>323</x:v>
      </x:c>
      <x:c r="F936" s="55" t="n">
        <x:v>537.62</x:v>
      </x:c>
      <x:c r="G936" s="58" t="n">
        <x:f>E935</x:f>
        <x:v>314</x:v>
      </x:c>
      <x:c r="H936" s="58" t="n">
        <x:f>AVERAGE(E932:E935)</x:f>
        <x:v>338.75</x:v>
      </x:c>
      <x:c r="I936" s="58" t="n">
        <x:f>AVERAGE(E928:E935)</x:f>
        <x:v>377.25</x:v>
      </x:c>
      <x:c r="J936" s="58" t="n">
        <x:f>IF(G936="","",ABS(E936-G936))</x:f>
        <x:v>9</x:v>
      </x:c>
      <x:c r="K936" s="58" t="n">
        <x:f>IF(H936="","",ABS(E936-H936))</x:f>
        <x:v>15.75</x:v>
      </x:c>
      <x:c r="L936" s="58" t="n">
        <x:f>IF(I936="","",ABS(E936-I936))</x:f>
        <x:v>54.25</x:v>
      </x:c>
      <x:c r="M936" s="23" t="str">
        <x:f>IF(B936&gt;44,"Validation","Training")</x:f>
        <x:v>Validation</x:v>
      </x:c>
      <x:c r="N936" s="61" t="n">
        <x:f>IF(OR(H936="",E936=0),"",K936/E936)</x:f>
        <x:v>0.048761609907120744</x:v>
      </x:c>
    </x:row>
    <x:row r="937">
      <x:c r="A937" s="28" t="n">
        <x:v>40854</x:v>
      </x:c>
      <x:c r="B937" s="23" t="n">
        <x:v>49</x:v>
      </x:c>
      <x:c r="C937" s="23" t="str">
        <x:v>20725</x:v>
      </x:c>
      <x:c r="D937" s="23" t="str">
        <x:v>LUNCH BAG RED RETROSPOT</x:v>
      </x:c>
      <x:c r="E937" s="34" t="n">
        <x:v>556</x:v>
      </x:c>
      <x:c r="F937" s="55" t="n">
        <x:v>1037.92</x:v>
      </x:c>
      <x:c r="G937" s="58" t="n">
        <x:f>E936</x:f>
        <x:v>323</x:v>
      </x:c>
      <x:c r="H937" s="58" t="n">
        <x:f>AVERAGE(E933:E936)</x:f>
        <x:v>339</x:v>
      </x:c>
      <x:c r="I937" s="58" t="n">
        <x:f>AVERAGE(E929:E936)</x:f>
        <x:v>352.125</x:v>
      </x:c>
      <x:c r="J937" s="58" t="n">
        <x:f>IF(G937="","",ABS(E937-G937))</x:f>
        <x:v>233</x:v>
      </x:c>
      <x:c r="K937" s="58" t="n">
        <x:f>IF(H937="","",ABS(E937-H937))</x:f>
        <x:v>217</x:v>
      </x:c>
      <x:c r="L937" s="58" t="n">
        <x:f>IF(I937="","",ABS(E937-I937))</x:f>
        <x:v>203.875</x:v>
      </x:c>
      <x:c r="M937" s="23" t="str">
        <x:f>IF(B937&gt;44,"Validation","Training")</x:f>
        <x:v>Validation</x:v>
      </x:c>
      <x:c r="N937" s="61" t="n">
        <x:f>IF(OR(H937="",E937=0),"",K937/E937)</x:f>
        <x:v>0.3902877697841727</x:v>
      </x:c>
    </x:row>
    <x:row r="938">
      <x:c r="A938" s="28" t="n">
        <x:v>40861</x:v>
      </x:c>
      <x:c r="B938" s="23" t="n">
        <x:v>50</x:v>
      </x:c>
      <x:c r="C938" s="23" t="str">
        <x:v>20725</x:v>
      </x:c>
      <x:c r="D938" s="23" t="str">
        <x:v>LUNCH BAG RED RETROSPOT</x:v>
      </x:c>
      <x:c r="E938" s="34" t="n">
        <x:v>650</x:v>
      </x:c>
      <x:c r="F938" s="55" t="n">
        <x:v>1227.14</x:v>
      </x:c>
      <x:c r="G938" s="58" t="n">
        <x:f>E937</x:f>
        <x:v>556</x:v>
      </x:c>
      <x:c r="H938" s="58" t="n">
        <x:f>AVERAGE(E934:E937)</x:f>
        <x:v>367.25</x:v>
      </x:c>
      <x:c r="I938" s="58" t="n">
        <x:f>AVERAGE(E930:E937)</x:f>
        <x:v>380.5</x:v>
      </x:c>
      <x:c r="J938" s="58" t="n">
        <x:f>IF(G938="","",ABS(E938-G938))</x:f>
        <x:v>94</x:v>
      </x:c>
      <x:c r="K938" s="58" t="n">
        <x:f>IF(H938="","",ABS(E938-H938))</x:f>
        <x:v>282.75</x:v>
      </x:c>
      <x:c r="L938" s="58" t="n">
        <x:f>IF(I938="","",ABS(E938-I938))</x:f>
        <x:v>269.5</x:v>
      </x:c>
      <x:c r="M938" s="23" t="str">
        <x:f>IF(B938&gt;44,"Validation","Training")</x:f>
        <x:v>Validation</x:v>
      </x:c>
      <x:c r="N938" s="61" t="n">
        <x:f>IF(OR(H938="",E938=0),"",K938/E938)</x:f>
        <x:v>0.435</x:v>
      </x:c>
    </x:row>
    <x:row r="939">
      <x:c r="A939" s="28" t="n">
        <x:v>40868</x:v>
      </x:c>
      <x:c r="B939" s="23" t="n">
        <x:v>51</x:v>
      </x:c>
      <x:c r="C939" s="23" t="str">
        <x:v>20725</x:v>
      </x:c>
      <x:c r="D939" s="23" t="str">
        <x:v>LUNCH BAG RED RETROSPOT</x:v>
      </x:c>
      <x:c r="E939" s="34" t="n">
        <x:v>276</x:v>
      </x:c>
      <x:c r="F939" s="55" t="n">
        <x:v>731.75</x:v>
      </x:c>
      <x:c r="G939" s="58" t="n">
        <x:f>E938</x:f>
        <x:v>650</x:v>
      </x:c>
      <x:c r="H939" s="58" t="n">
        <x:f>AVERAGE(E935:E938)</x:f>
        <x:v>460.75</x:v>
      </x:c>
      <x:c r="I939" s="58" t="n">
        <x:f>AVERAGE(E931:E938)</x:f>
        <x:v>400.25</x:v>
      </x:c>
      <x:c r="J939" s="58" t="n">
        <x:f>IF(G939="","",ABS(E939-G939))</x:f>
        <x:v>374</x:v>
      </x:c>
      <x:c r="K939" s="58" t="n">
        <x:f>IF(H939="","",ABS(E939-H939))</x:f>
        <x:v>184.75</x:v>
      </x:c>
      <x:c r="L939" s="58" t="n">
        <x:f>IF(I939="","",ABS(E939-I939))</x:f>
        <x:v>124.25</x:v>
      </x:c>
      <x:c r="M939" s="23" t="str">
        <x:f>IF(B939&gt;44,"Validation","Training")</x:f>
        <x:v>Validation</x:v>
      </x:c>
      <x:c r="N939" s="61" t="n">
        <x:f>IF(OR(H939="",E939=0),"",K939/E939)</x:f>
        <x:v>0.6693840579710145</x:v>
      </x:c>
    </x:row>
    <x:row r="940">
      <x:c r="A940" s="28" t="n">
        <x:v>40875</x:v>
      </x:c>
      <x:c r="B940" s="23" t="n">
        <x:v>52</x:v>
      </x:c>
      <x:c r="C940" s="23" t="str">
        <x:v>20725</x:v>
      </x:c>
      <x:c r="D940" s="23" t="str">
        <x:v>LUNCH BAG RED RETROSPOT</x:v>
      </x:c>
      <x:c r="E940" s="34" t="n">
        <x:v>331</x:v>
      </x:c>
      <x:c r="F940" s="55" t="n">
        <x:v>794.61</x:v>
      </x:c>
      <x:c r="G940" s="58" t="n">
        <x:f>E939</x:f>
        <x:v>276</x:v>
      </x:c>
      <x:c r="H940" s="58" t="n">
        <x:f>AVERAGE(E936:E939)</x:f>
        <x:v>451.25</x:v>
      </x:c>
      <x:c r="I940" s="58" t="n">
        <x:f>AVERAGE(E932:E939)</x:f>
        <x:v>395</x:v>
      </x:c>
      <x:c r="J940" s="58" t="n">
        <x:f>IF(G940="","",ABS(E940-G940))</x:f>
        <x:v>55</x:v>
      </x:c>
      <x:c r="K940" s="58" t="n">
        <x:f>IF(H940="","",ABS(E940-H940))</x:f>
        <x:v>120.25</x:v>
      </x:c>
      <x:c r="L940" s="58" t="n">
        <x:f>IF(I940="","",ABS(E940-I940))</x:f>
        <x:v>64</x:v>
      </x:c>
      <x:c r="M940" s="23" t="str">
        <x:f>IF(B940&gt;44,"Validation","Training")</x:f>
        <x:v>Validation</x:v>
      </x:c>
      <x:c r="N940" s="61" t="n">
        <x:f>IF(OR(H940="",E940=0),"",K940/E940)</x:f>
        <x:v>0.3632930513595166</x:v>
      </x:c>
    </x:row>
    <x:row r="941">
      <x:c r="A941" s="28" t="n">
        <x:v>40518</x:v>
      </x:c>
      <x:c r="B941" s="23" t="n">
        <x:v>1</x:v>
      </x:c>
      <x:c r="C941" s="23" t="str">
        <x:v>82484</x:v>
      </x:c>
      <x:c r="D941" s="23" t="str">
        <x:v>WOOD BLACK BOARD ANT WHITE FINISH</x:v>
      </x:c>
      <x:c r="E941" s="34" t="n">
        <x:v>1163</x:v>
      </x:c>
      <x:c r="F941" s="55" t="n">
        <x:v>5715.75</x:v>
      </x:c>
      <x:c r="G941" s="58" t="str">
        <x:f>""</x:f>
      </x:c>
      <x:c r="H941" s="58" t="str">
        <x:f>""</x:f>
      </x:c>
      <x:c r="I941" s="58" t="str">
        <x:f>""</x:f>
      </x:c>
      <x:c r="J941" s="58" t="str">
        <x:f>IF(G941="","",ABS(E941-G941))</x:f>
      </x:c>
      <x:c r="K941" s="58" t="str">
        <x:f>IF(H941="","",ABS(E941-H941))</x:f>
      </x:c>
      <x:c r="L941" s="58" t="str">
        <x:f>IF(I941="","",ABS(E941-I941))</x:f>
      </x:c>
      <x:c r="M941" s="23" t="str">
        <x:f>IF(B941&gt;44,"Validation","Training")</x:f>
        <x:v>Training</x:v>
      </x:c>
      <x:c r="N941" s="61" t="str">
        <x:f>IF(OR(H941="",E941=0),"",K941/E941)</x:f>
      </x:c>
    </x:row>
    <x:row r="942">
      <x:c r="A942" s="28" t="n">
        <x:v>40525</x:v>
      </x:c>
      <x:c r="B942" s="23" t="n">
        <x:v>2</x:v>
      </x:c>
      <x:c r="C942" s="23" t="str">
        <x:v>82484</x:v>
      </x:c>
      <x:c r="D942" s="23" t="str">
        <x:v>WOOD BLACK BOARD ANT WHITE FINISH</x:v>
      </x:c>
      <x:c r="E942" s="34" t="n">
        <x:v>117</x:v>
      </x:c>
      <x:c r="F942" s="55" t="n">
        <x:v>711.21</x:v>
      </x:c>
      <x:c r="G942" s="58" t="n">
        <x:f>E941</x:f>
        <x:v>1163</x:v>
      </x:c>
      <x:c r="H942" s="58" t="str">
        <x:f>""</x:f>
      </x:c>
      <x:c r="I942" s="58" t="str">
        <x:f>""</x:f>
      </x:c>
      <x:c r="J942" s="58" t="n">
        <x:f>IF(G942="","",ABS(E942-G942))</x:f>
        <x:v>1046</x:v>
      </x:c>
      <x:c r="K942" s="58" t="str">
        <x:f>IF(H942="","",ABS(E942-H942))</x:f>
      </x:c>
      <x:c r="L942" s="58" t="str">
        <x:f>IF(I942="","",ABS(E942-I942))</x:f>
      </x:c>
      <x:c r="M942" s="23" t="str">
        <x:f>IF(B942&gt;44,"Validation","Training")</x:f>
        <x:v>Training</x:v>
      </x:c>
      <x:c r="N942" s="61" t="str">
        <x:f>IF(OR(H942="",E942=0),"",K942/E942)</x:f>
      </x:c>
    </x:row>
    <x:row r="943">
      <x:c r="A943" s="28" t="n">
        <x:v>40532</x:v>
      </x:c>
      <x:c r="B943" s="23" t="n">
        <x:v>3</x:v>
      </x:c>
      <x:c r="C943" s="23" t="str">
        <x:v>82484</x:v>
      </x:c>
      <x:c r="D943" s="23" t="str">
        <x:v>WOOD BLACK BOARD ANT WHITE FINISH</x:v>
      </x:c>
      <x:c r="E943" s="34" t="n">
        <x:v>9</x:v>
      </x:c>
      <x:c r="F943" s="55" t="n">
        <x:v>65.17</x:v>
      </x:c>
      <x:c r="G943" s="58" t="n">
        <x:f>E942</x:f>
        <x:v>117</x:v>
      </x:c>
      <x:c r="H943" s="58" t="str">
        <x:f>""</x:f>
      </x:c>
      <x:c r="I943" s="58" t="str">
        <x:f>""</x:f>
      </x:c>
      <x:c r="J943" s="58" t="n">
        <x:f>IF(G943="","",ABS(E943-G943))</x:f>
        <x:v>108</x:v>
      </x:c>
      <x:c r="K943" s="58" t="str">
        <x:f>IF(H943="","",ABS(E943-H943))</x:f>
      </x:c>
      <x:c r="L943" s="58" t="str">
        <x:f>IF(I943="","",ABS(E943-I943))</x:f>
      </x:c>
      <x:c r="M943" s="23" t="str">
        <x:f>IF(B943&gt;44,"Validation","Training")</x:f>
        <x:v>Training</x:v>
      </x:c>
      <x:c r="N943" s="61" t="str">
        <x:f>IF(OR(H943="",E943=0),"",K943/E943)</x:f>
      </x:c>
    </x:row>
    <x:row r="944">
      <x:c r="A944" s="28" t="n">
        <x:v>40539</x:v>
      </x:c>
      <x:c r="B944" s="23" t="n">
        <x:v>4</x:v>
      </x:c>
      <x:c r="C944" s="23" t="str">
        <x:v>82484</x:v>
      </x:c>
      <x:c r="D944" s="23" t="str">
        <x:v>WOOD BLACK BOARD ANT WHITE FINISH</x:v>
      </x:c>
      <x:c r="E944" s="34" t="n">
        <x:v>0</x:v>
      </x:c>
      <x:c r="F944" s="55" t="n">
        <x:v>0</x:v>
      </x:c>
      <x:c r="G944" s="58" t="n">
        <x:f>E943</x:f>
        <x:v>9</x:v>
      </x:c>
      <x:c r="H944" s="58" t="str">
        <x:f>""</x:f>
      </x:c>
      <x:c r="I944" s="58" t="str">
        <x:f>""</x:f>
      </x:c>
      <x:c r="J944" s="58" t="n">
        <x:f>IF(G944="","",ABS(E944-G944))</x:f>
        <x:v>9</x:v>
      </x:c>
      <x:c r="K944" s="58" t="str">
        <x:f>IF(H944="","",ABS(E944-H944))</x:f>
      </x:c>
      <x:c r="L944" s="58" t="str">
        <x:f>IF(I944="","",ABS(E944-I944))</x:f>
      </x:c>
      <x:c r="M944" s="23" t="str">
        <x:f>IF(B944&gt;44,"Validation","Training")</x:f>
        <x:v>Training</x:v>
      </x:c>
      <x:c r="N944" s="61" t="str">
        <x:f>IF(OR(H944="",E944=0),"",K944/E944)</x:f>
      </x:c>
    </x:row>
    <x:row r="945">
      <x:c r="A945" s="28" t="n">
        <x:v>40546</x:v>
      </x:c>
      <x:c r="B945" s="23" t="n">
        <x:v>5</x:v>
      </x:c>
      <x:c r="C945" s="23" t="str">
        <x:v>82484</x:v>
      </x:c>
      <x:c r="D945" s="23" t="str">
        <x:v>WOOD BLACK BOARD ANT WHITE FINISH</x:v>
      </x:c>
      <x:c r="E945" s="34" t="n">
        <x:v>61</x:v>
      </x:c>
      <x:c r="F945" s="55" t="n">
        <x:v>361.05</x:v>
      </x:c>
      <x:c r="G945" s="58" t="n">
        <x:f>E944</x:f>
        <x:v>0</x:v>
      </x:c>
      <x:c r="H945" s="58" t="n">
        <x:f>AVERAGE(E941:E944)</x:f>
        <x:v>322.25</x:v>
      </x:c>
      <x:c r="I945" s="58" t="str">
        <x:f>""</x:f>
      </x:c>
      <x:c r="J945" s="58" t="str">
        <x:f>IF(G945="","",ABS(E945-G945))</x:f>
      </x:c>
      <x:c r="K945" s="58" t="n">
        <x:f>IF(H945="","",ABS(E945-H945))</x:f>
        <x:v>261.25</x:v>
      </x:c>
      <x:c r="L945" s="58" t="str">
        <x:f>IF(I945="","",ABS(E945-I945))</x:f>
      </x:c>
      <x:c r="M945" s="23" t="str">
        <x:f>IF(B945&gt;44,"Validation","Training")</x:f>
        <x:v>Training</x:v>
      </x:c>
      <x:c r="N945" s="61" t="n">
        <x:f>IF(OR(H945="",E945=0),"",K945/E945)</x:f>
        <x:v>4.282786885245901</x:v>
      </x:c>
    </x:row>
    <x:row r="946">
      <x:c r="A946" s="28" t="n">
        <x:v>40553</x:v>
      </x:c>
      <x:c r="B946" s="23" t="n">
        <x:v>6</x:v>
      </x:c>
      <x:c r="C946" s="23" t="str">
        <x:v>82484</x:v>
      </x:c>
      <x:c r="D946" s="23" t="str">
        <x:v>WOOD BLACK BOARD ANT WHITE FINISH</x:v>
      </x:c>
      <x:c r="E946" s="34" t="n">
        <x:v>42</x:v>
      </x:c>
      <x:c r="F946" s="55" t="n">
        <x:v>249.3</x:v>
      </x:c>
      <x:c r="G946" s="58" t="n">
        <x:f>E945</x:f>
        <x:v>61</x:v>
      </x:c>
      <x:c r="H946" s="58" t="n">
        <x:f>AVERAGE(E942:E945)</x:f>
        <x:v>46.75</x:v>
      </x:c>
      <x:c r="I946" s="58" t="str">
        <x:f>""</x:f>
      </x:c>
      <x:c r="J946" s="58" t="n">
        <x:f>IF(G946="","",ABS(E946-G946))</x:f>
        <x:v>19</x:v>
      </x:c>
      <x:c r="K946" s="58" t="n">
        <x:f>IF(H946="","",ABS(E946-H946))</x:f>
        <x:v>4.75</x:v>
      </x:c>
      <x:c r="L946" s="58" t="str">
        <x:f>IF(I946="","",ABS(E946-I946))</x:f>
      </x:c>
      <x:c r="M946" s="23" t="str">
        <x:f>IF(B946&gt;44,"Validation","Training")</x:f>
        <x:v>Training</x:v>
      </x:c>
      <x:c r="N946" s="61" t="n">
        <x:f>IF(OR(H946="",E946=0),"",K946/E946)</x:f>
        <x:v>0.1130952380952381</x:v>
      </x:c>
    </x:row>
    <x:row r="947">
      <x:c r="A947" s="28" t="n">
        <x:v>40560</x:v>
      </x:c>
      <x:c r="B947" s="23" t="n">
        <x:v>7</x:v>
      </x:c>
      <x:c r="C947" s="23" t="str">
        <x:v>82484</x:v>
      </x:c>
      <x:c r="D947" s="23" t="str">
        <x:v>WOOD BLACK BOARD ANT WHITE FINISH</x:v>
      </x:c>
      <x:c r="E947" s="34" t="n">
        <x:v>110</x:v>
      </x:c>
      <x:c r="F947" s="55" t="n">
        <x:v>681.6</x:v>
      </x:c>
      <x:c r="G947" s="58" t="n">
        <x:f>E946</x:f>
        <x:v>42</x:v>
      </x:c>
      <x:c r="H947" s="58" t="n">
        <x:f>AVERAGE(E943:E946)</x:f>
        <x:v>28</x:v>
      </x:c>
      <x:c r="I947" s="58" t="str">
        <x:f>""</x:f>
      </x:c>
      <x:c r="J947" s="58" t="n">
        <x:f>IF(G947="","",ABS(E947-G947))</x:f>
        <x:v>68</x:v>
      </x:c>
      <x:c r="K947" s="58" t="n">
        <x:f>IF(H947="","",ABS(E947-H947))</x:f>
        <x:v>82</x:v>
      </x:c>
      <x:c r="L947" s="58" t="str">
        <x:f>IF(I947="","",ABS(E947-I947))</x:f>
      </x:c>
      <x:c r="M947" s="23" t="str">
        <x:f>IF(B947&gt;44,"Validation","Training")</x:f>
        <x:v>Training</x:v>
      </x:c>
      <x:c r="N947" s="61" t="n">
        <x:f>IF(OR(H947="",E947=0),"",K947/E947)</x:f>
        <x:v>0.7454545454545455</x:v>
      </x:c>
    </x:row>
    <x:row r="948">
      <x:c r="A948" s="28" t="n">
        <x:v>40567</x:v>
      </x:c>
      <x:c r="B948" s="23" t="n">
        <x:v>8</x:v>
      </x:c>
      <x:c r="C948" s="23" t="str">
        <x:v>82484</x:v>
      </x:c>
      <x:c r="D948" s="23" t="str">
        <x:v>WOOD BLACK BOARD ANT WHITE FINISH</x:v>
      </x:c>
      <x:c r="E948" s="34" t="n">
        <x:v>119</x:v>
      </x:c>
      <x:c r="F948" s="55" t="n">
        <x:v>722.19</x:v>
      </x:c>
      <x:c r="G948" s="58" t="n">
        <x:f>E947</x:f>
        <x:v>110</x:v>
      </x:c>
      <x:c r="H948" s="58" t="n">
        <x:f>AVERAGE(E944:E947)</x:f>
        <x:v>53.25</x:v>
      </x:c>
      <x:c r="I948" s="58" t="str">
        <x:f>""</x:f>
      </x:c>
      <x:c r="J948" s="58" t="n">
        <x:f>IF(G948="","",ABS(E948-G948))</x:f>
        <x:v>9</x:v>
      </x:c>
      <x:c r="K948" s="58" t="n">
        <x:f>IF(H948="","",ABS(E948-H948))</x:f>
        <x:v>65.75</x:v>
      </x:c>
      <x:c r="L948" s="58" t="str">
        <x:f>IF(I948="","",ABS(E948-I948))</x:f>
      </x:c>
      <x:c r="M948" s="23" t="str">
        <x:f>IF(B948&gt;44,"Validation","Training")</x:f>
        <x:v>Training</x:v>
      </x:c>
      <x:c r="N948" s="61" t="n">
        <x:f>IF(OR(H948="",E948=0),"",K948/E948)</x:f>
        <x:v>0.5525210084033614</x:v>
      </x:c>
    </x:row>
    <x:row r="949">
      <x:c r="A949" s="28" t="n">
        <x:v>40574</x:v>
      </x:c>
      <x:c r="B949" s="23" t="n">
        <x:v>9</x:v>
      </x:c>
      <x:c r="C949" s="23" t="str">
        <x:v>82484</x:v>
      </x:c>
      <x:c r="D949" s="23" t="str">
        <x:v>WOOD BLACK BOARD ANT WHITE FINISH</x:v>
      </x:c>
      <x:c r="E949" s="34" t="n">
        <x:v>60</x:v>
      </x:c>
      <x:c r="F949" s="55" t="n">
        <x:v>367.44</x:v>
      </x:c>
      <x:c r="G949" s="58" t="n">
        <x:f>E948</x:f>
        <x:v>119</x:v>
      </x:c>
      <x:c r="H949" s="58" t="n">
        <x:f>AVERAGE(E945:E948)</x:f>
        <x:v>83</x:v>
      </x:c>
      <x:c r="I949" s="58" t="n">
        <x:f>AVERAGE(E941:E948)</x:f>
        <x:v>202.625</x:v>
      </x:c>
      <x:c r="J949" s="58" t="n">
        <x:f>IF(G949="","",ABS(E949-G949))</x:f>
        <x:v>59</x:v>
      </x:c>
      <x:c r="K949" s="58" t="n">
        <x:f>IF(H949="","",ABS(E949-H949))</x:f>
        <x:v>23</x:v>
      </x:c>
      <x:c r="L949" s="58" t="n">
        <x:f>IF(I949="","",ABS(E949-I949))</x:f>
        <x:v>142.625</x:v>
      </x:c>
      <x:c r="M949" s="23" t="str">
        <x:f>IF(B949&gt;44,"Validation","Training")</x:f>
        <x:v>Training</x:v>
      </x:c>
      <x:c r="N949" s="61" t="n">
        <x:f>IF(OR(H949="",E949=0),"",K949/E949)</x:f>
        <x:v>0.38333333333333336</x:v>
      </x:c>
    </x:row>
    <x:row r="950">
      <x:c r="A950" s="28" t="n">
        <x:v>40581</x:v>
      </x:c>
      <x:c r="B950" s="23" t="n">
        <x:v>10</x:v>
      </x:c>
      <x:c r="C950" s="23" t="str">
        <x:v>82484</x:v>
      </x:c>
      <x:c r="D950" s="23" t="str">
        <x:v>WOOD BLACK BOARD ANT WHITE FINISH</x:v>
      </x:c>
      <x:c r="E950" s="34" t="n">
        <x:v>230</x:v>
      </x:c>
      <x:c r="F950" s="55" t="n">
        <x:v>1174.06</x:v>
      </x:c>
      <x:c r="G950" s="58" t="n">
        <x:f>E949</x:f>
        <x:v>60</x:v>
      </x:c>
      <x:c r="H950" s="58" t="n">
        <x:f>AVERAGE(E946:E949)</x:f>
        <x:v>82.75</x:v>
      </x:c>
      <x:c r="I950" s="58" t="n">
        <x:f>AVERAGE(E942:E949)</x:f>
        <x:v>64.75</x:v>
      </x:c>
      <x:c r="J950" s="58" t="n">
        <x:f>IF(G950="","",ABS(E950-G950))</x:f>
        <x:v>170</x:v>
      </x:c>
      <x:c r="K950" s="58" t="n">
        <x:f>IF(H950="","",ABS(E950-H950))</x:f>
        <x:v>147.25</x:v>
      </x:c>
      <x:c r="L950" s="58" t="n">
        <x:f>IF(I950="","",ABS(E950-I950))</x:f>
        <x:v>165.25</x:v>
      </x:c>
      <x:c r="M950" s="23" t="str">
        <x:f>IF(B950&gt;44,"Validation","Training")</x:f>
        <x:v>Training</x:v>
      </x:c>
      <x:c r="N950" s="61" t="n">
        <x:f>IF(OR(H950="",E950=0),"",K950/E950)</x:f>
        <x:v>0.6402173913043478</x:v>
      </x:c>
    </x:row>
    <x:row r="951">
      <x:c r="A951" s="28" t="n">
        <x:v>40588</x:v>
      </x:c>
      <x:c r="B951" s="23" t="n">
        <x:v>11</x:v>
      </x:c>
      <x:c r="C951" s="23" t="str">
        <x:v>82484</x:v>
      </x:c>
      <x:c r="D951" s="23" t="str">
        <x:v>WOOD BLACK BOARD ANT WHITE FINISH</x:v>
      </x:c>
      <x:c r="E951" s="34" t="n">
        <x:v>43</x:v>
      </x:c>
      <x:c r="F951" s="55" t="n">
        <x:v>313.05</x:v>
      </x:c>
      <x:c r="G951" s="58" t="n">
        <x:f>E950</x:f>
        <x:v>230</x:v>
      </x:c>
      <x:c r="H951" s="58" t="n">
        <x:f>AVERAGE(E947:E950)</x:f>
        <x:v>129.75</x:v>
      </x:c>
      <x:c r="I951" s="58" t="n">
        <x:f>AVERAGE(E943:E950)</x:f>
        <x:v>78.875</x:v>
      </x:c>
      <x:c r="J951" s="58" t="n">
        <x:f>IF(G951="","",ABS(E951-G951))</x:f>
        <x:v>187</x:v>
      </x:c>
      <x:c r="K951" s="58" t="n">
        <x:f>IF(H951="","",ABS(E951-H951))</x:f>
        <x:v>86.75</x:v>
      </x:c>
      <x:c r="L951" s="58" t="n">
        <x:f>IF(I951="","",ABS(E951-I951))</x:f>
        <x:v>35.875</x:v>
      </x:c>
      <x:c r="M951" s="23" t="str">
        <x:f>IF(B951&gt;44,"Validation","Training")</x:f>
        <x:v>Training</x:v>
      </x:c>
      <x:c r="N951" s="61" t="n">
        <x:f>IF(OR(H951="",E951=0),"",K951/E951)</x:f>
        <x:v>2.0174418604651163</x:v>
      </x:c>
    </x:row>
    <x:row r="952">
      <x:c r="A952" s="28" t="n">
        <x:v>40595</x:v>
      </x:c>
      <x:c r="B952" s="23" t="n">
        <x:v>12</x:v>
      </x:c>
      <x:c r="C952" s="23" t="str">
        <x:v>82484</x:v>
      </x:c>
      <x:c r="D952" s="23" t="str">
        <x:v>WOOD BLACK BOARD ANT WHITE FINISH</x:v>
      </x:c>
      <x:c r="E952" s="34" t="n">
        <x:v>33</x:v>
      </x:c>
      <x:c r="F952" s="55" t="n">
        <x:v>256.63</x:v>
      </x:c>
      <x:c r="G952" s="58" t="n">
        <x:f>E951</x:f>
        <x:v>43</x:v>
      </x:c>
      <x:c r="H952" s="58" t="n">
        <x:f>AVERAGE(E948:E951)</x:f>
        <x:v>113</x:v>
      </x:c>
      <x:c r="I952" s="58" t="n">
        <x:f>AVERAGE(E944:E951)</x:f>
        <x:v>83.125</x:v>
      </x:c>
      <x:c r="J952" s="58" t="n">
        <x:f>IF(G952="","",ABS(E952-G952))</x:f>
        <x:v>10</x:v>
      </x:c>
      <x:c r="K952" s="58" t="n">
        <x:f>IF(H952="","",ABS(E952-H952))</x:f>
        <x:v>80</x:v>
      </x:c>
      <x:c r="L952" s="58" t="n">
        <x:f>IF(I952="","",ABS(E952-I952))</x:f>
        <x:v>50.125</x:v>
      </x:c>
      <x:c r="M952" s="23" t="str">
        <x:f>IF(B952&gt;44,"Validation","Training")</x:f>
        <x:v>Training</x:v>
      </x:c>
      <x:c r="N952" s="61" t="n">
        <x:f>IF(OR(H952="",E952=0),"",K952/E952)</x:f>
        <x:v>2.4242424242424243</x:v>
      </x:c>
    </x:row>
    <x:row r="953">
      <x:c r="A953" s="28" t="n">
        <x:v>40602</x:v>
      </x:c>
      <x:c r="B953" s="23" t="n">
        <x:v>13</x:v>
      </x:c>
      <x:c r="C953" s="23" t="str">
        <x:v>82484</x:v>
      </x:c>
      <x:c r="D953" s="23" t="str">
        <x:v>WOOD BLACK BOARD ANT WHITE FINISH</x:v>
      </x:c>
      <x:c r="E953" s="34" t="n">
        <x:v>23</x:v>
      </x:c>
      <x:c r="F953" s="55" t="n">
        <x:v>208.24</x:v>
      </x:c>
      <x:c r="G953" s="58" t="n">
        <x:f>E952</x:f>
        <x:v>33</x:v>
      </x:c>
      <x:c r="H953" s="58" t="n">
        <x:f>AVERAGE(E949:E952)</x:f>
        <x:v>91.5</x:v>
      </x:c>
      <x:c r="I953" s="58" t="n">
        <x:f>AVERAGE(E945:E952)</x:f>
        <x:v>87.25</x:v>
      </x:c>
      <x:c r="J953" s="58" t="n">
        <x:f>IF(G953="","",ABS(E953-G953))</x:f>
        <x:v>10</x:v>
      </x:c>
      <x:c r="K953" s="58" t="n">
        <x:f>IF(H953="","",ABS(E953-H953))</x:f>
        <x:v>68.5</x:v>
      </x:c>
      <x:c r="L953" s="58" t="n">
        <x:f>IF(I953="","",ABS(E953-I953))</x:f>
        <x:v>64.25</x:v>
      </x:c>
      <x:c r="M953" s="23" t="str">
        <x:f>IF(B953&gt;44,"Validation","Training")</x:f>
        <x:v>Training</x:v>
      </x:c>
      <x:c r="N953" s="61" t="n">
        <x:f>IF(OR(H953="",E953=0),"",K953/E953)</x:f>
        <x:v>2.9782608695652173</x:v>
      </x:c>
    </x:row>
    <x:row r="954">
      <x:c r="A954" s="28" t="n">
        <x:v>40609</x:v>
      </x:c>
      <x:c r="B954" s="23" t="n">
        <x:v>14</x:v>
      </x:c>
      <x:c r="C954" s="23" t="str">
        <x:v>82484</x:v>
      </x:c>
      <x:c r="D954" s="23" t="str">
        <x:v>WOOD BLACK BOARD ANT WHITE FINISH</x:v>
      </x:c>
      <x:c r="E954" s="34" t="n">
        <x:v>57</x:v>
      </x:c>
      <x:c r="F954" s="55" t="n">
        <x:v>426.46</x:v>
      </x:c>
      <x:c r="G954" s="58" t="n">
        <x:f>E953</x:f>
        <x:v>23</x:v>
      </x:c>
      <x:c r="H954" s="58" t="n">
        <x:f>AVERAGE(E950:E953)</x:f>
        <x:v>82.25</x:v>
      </x:c>
      <x:c r="I954" s="58" t="n">
        <x:f>AVERAGE(E946:E953)</x:f>
        <x:v>82.5</x:v>
      </x:c>
      <x:c r="J954" s="58" t="n">
        <x:f>IF(G954="","",ABS(E954-G954))</x:f>
        <x:v>34</x:v>
      </x:c>
      <x:c r="K954" s="58" t="n">
        <x:f>IF(H954="","",ABS(E954-H954))</x:f>
        <x:v>25.25</x:v>
      </x:c>
      <x:c r="L954" s="58" t="n">
        <x:f>IF(I954="","",ABS(E954-I954))</x:f>
        <x:v>25.5</x:v>
      </x:c>
      <x:c r="M954" s="23" t="str">
        <x:f>IF(B954&gt;44,"Validation","Training")</x:f>
        <x:v>Training</x:v>
      </x:c>
      <x:c r="N954" s="61" t="n">
        <x:f>IF(OR(H954="",E954=0),"",K954/E954)</x:f>
        <x:v>0.44298245614035087</x:v>
      </x:c>
    </x:row>
    <x:row r="955">
      <x:c r="A955" s="28" t="n">
        <x:v>40616</x:v>
      </x:c>
      <x:c r="B955" s="23" t="n">
        <x:v>15</x:v>
      </x:c>
      <x:c r="C955" s="23" t="str">
        <x:v>82484</x:v>
      </x:c>
      <x:c r="D955" s="23" t="str">
        <x:v>WOOD BLACK BOARD ANT WHITE FINISH</x:v>
      </x:c>
      <x:c r="E955" s="34" t="n">
        <x:v>65</x:v>
      </x:c>
      <x:c r="F955" s="55" t="n">
        <x:v>494.63</x:v>
      </x:c>
      <x:c r="G955" s="58" t="n">
        <x:f>E954</x:f>
        <x:v>57</x:v>
      </x:c>
      <x:c r="H955" s="58" t="n">
        <x:f>AVERAGE(E951:E954)</x:f>
        <x:v>39</x:v>
      </x:c>
      <x:c r="I955" s="58" t="n">
        <x:f>AVERAGE(E947:E954)</x:f>
        <x:v>84.375</x:v>
      </x:c>
      <x:c r="J955" s="58" t="n">
        <x:f>IF(G955="","",ABS(E955-G955))</x:f>
        <x:v>8</x:v>
      </x:c>
      <x:c r="K955" s="58" t="n">
        <x:f>IF(H955="","",ABS(E955-H955))</x:f>
        <x:v>26</x:v>
      </x:c>
      <x:c r="L955" s="58" t="n">
        <x:f>IF(I955="","",ABS(E955-I955))</x:f>
        <x:v>19.375</x:v>
      </x:c>
      <x:c r="M955" s="23" t="str">
        <x:f>IF(B955&gt;44,"Validation","Training")</x:f>
        <x:v>Training</x:v>
      </x:c>
      <x:c r="N955" s="61" t="n">
        <x:f>IF(OR(H955="",E955=0),"",K955/E955)</x:f>
        <x:v>0.4</x:v>
      </x:c>
    </x:row>
    <x:row r="956">
      <x:c r="A956" s="28" t="n">
        <x:v>40623</x:v>
      </x:c>
      <x:c r="B956" s="23" t="n">
        <x:v>16</x:v>
      </x:c>
      <x:c r="C956" s="23" t="str">
        <x:v>82484</x:v>
      </x:c>
      <x:c r="D956" s="23" t="str">
        <x:v>WOOD BLACK BOARD ANT WHITE FINISH</x:v>
      </x:c>
      <x:c r="E956" s="34" t="n">
        <x:v>349</x:v>
      </x:c>
      <x:c r="F956" s="55" t="n">
        <x:v>1790.5</x:v>
      </x:c>
      <x:c r="G956" s="58" t="n">
        <x:f>E955</x:f>
        <x:v>65</x:v>
      </x:c>
      <x:c r="H956" s="58" t="n">
        <x:f>AVERAGE(E952:E955)</x:f>
        <x:v>44.5</x:v>
      </x:c>
      <x:c r="I956" s="58" t="n">
        <x:f>AVERAGE(E948:E955)</x:f>
        <x:v>78.75</x:v>
      </x:c>
      <x:c r="J956" s="58" t="n">
        <x:f>IF(G956="","",ABS(E956-G956))</x:f>
        <x:v>284</x:v>
      </x:c>
      <x:c r="K956" s="58" t="n">
        <x:f>IF(H956="","",ABS(E956-H956))</x:f>
        <x:v>304.5</x:v>
      </x:c>
      <x:c r="L956" s="58" t="n">
        <x:f>IF(I956="","",ABS(E956-I956))</x:f>
        <x:v>270.25</x:v>
      </x:c>
      <x:c r="M956" s="23" t="str">
        <x:f>IF(B956&gt;44,"Validation","Training")</x:f>
        <x:v>Training</x:v>
      </x:c>
      <x:c r="N956" s="61" t="n">
        <x:f>IF(OR(H956="",E956=0),"",K956/E956)</x:f>
        <x:v>0.8724928366762178</x:v>
      </x:c>
    </x:row>
    <x:row r="957">
      <x:c r="A957" s="28" t="n">
        <x:v>40630</x:v>
      </x:c>
      <x:c r="B957" s="23" t="n">
        <x:v>17</x:v>
      </x:c>
      <x:c r="C957" s="23" t="str">
        <x:v>82484</x:v>
      </x:c>
      <x:c r="D957" s="23" t="str">
        <x:v>WOOD BLACK BOARD ANT WHITE FINISH</x:v>
      </x:c>
      <x:c r="E957" s="34" t="n">
        <x:v>46</x:v>
      </x:c>
      <x:c r="F957" s="55" t="n">
        <x:v>322.1</x:v>
      </x:c>
      <x:c r="G957" s="58" t="n">
        <x:f>E956</x:f>
        <x:v>349</x:v>
      </x:c>
      <x:c r="H957" s="58" t="n">
        <x:f>AVERAGE(E953:E956)</x:f>
        <x:v>123.5</x:v>
      </x:c>
      <x:c r="I957" s="58" t="n">
        <x:f>AVERAGE(E949:E956)</x:f>
        <x:v>107.5</x:v>
      </x:c>
      <x:c r="J957" s="58" t="n">
        <x:f>IF(G957="","",ABS(E957-G957))</x:f>
        <x:v>303</x:v>
      </x:c>
      <x:c r="K957" s="58" t="n">
        <x:f>IF(H957="","",ABS(E957-H957))</x:f>
        <x:v>77.5</x:v>
      </x:c>
      <x:c r="L957" s="58" t="n">
        <x:f>IF(I957="","",ABS(E957-I957))</x:f>
        <x:v>61.5</x:v>
      </x:c>
      <x:c r="M957" s="23" t="str">
        <x:f>IF(B957&gt;44,"Validation","Training")</x:f>
        <x:v>Training</x:v>
      </x:c>
      <x:c r="N957" s="61" t="n">
        <x:f>IF(OR(H957="",E957=0),"",K957/E957)</x:f>
        <x:v>1.684782608695652</x:v>
      </x:c>
    </x:row>
    <x:row r="958">
      <x:c r="A958" s="28" t="n">
        <x:v>40637</x:v>
      </x:c>
      <x:c r="B958" s="23" t="n">
        <x:v>18</x:v>
      </x:c>
      <x:c r="C958" s="23" t="str">
        <x:v>82484</x:v>
      </x:c>
      <x:c r="D958" s="23" t="str">
        <x:v>WOOD BLACK BOARD ANT WHITE FINISH</x:v>
      </x:c>
      <x:c r="E958" s="34" t="n">
        <x:v>26</x:v>
      </x:c>
      <x:c r="F958" s="55" t="n">
        <x:v>200.98</x:v>
      </x:c>
      <x:c r="G958" s="58" t="n">
        <x:f>E957</x:f>
        <x:v>46</x:v>
      </x:c>
      <x:c r="H958" s="58" t="n">
        <x:f>AVERAGE(E954:E957)</x:f>
        <x:v>129.25</x:v>
      </x:c>
      <x:c r="I958" s="58" t="n">
        <x:f>AVERAGE(E950:E957)</x:f>
        <x:v>105.75</x:v>
      </x:c>
      <x:c r="J958" s="58" t="n">
        <x:f>IF(G958="","",ABS(E958-G958))</x:f>
        <x:v>20</x:v>
      </x:c>
      <x:c r="K958" s="58" t="n">
        <x:f>IF(H958="","",ABS(E958-H958))</x:f>
        <x:v>103.25</x:v>
      </x:c>
      <x:c r="L958" s="58" t="n">
        <x:f>IF(I958="","",ABS(E958-I958))</x:f>
        <x:v>79.75</x:v>
      </x:c>
      <x:c r="M958" s="23" t="str">
        <x:f>IF(B958&gt;44,"Validation","Training")</x:f>
        <x:v>Training</x:v>
      </x:c>
      <x:c r="N958" s="61" t="n">
        <x:f>IF(OR(H958="",E958=0),"",K958/E958)</x:f>
        <x:v>3.9711538461538463</x:v>
      </x:c>
    </x:row>
    <x:row r="959">
      <x:c r="A959" s="28" t="n">
        <x:v>40644</x:v>
      </x:c>
      <x:c r="B959" s="23" t="n">
        <x:v>19</x:v>
      </x:c>
      <x:c r="C959" s="23" t="str">
        <x:v>82484</x:v>
      </x:c>
      <x:c r="D959" s="23" t="str">
        <x:v>WOOD BLACK BOARD ANT WHITE FINISH</x:v>
      </x:c>
      <x:c r="E959" s="34" t="n">
        <x:v>45</x:v>
      </x:c>
      <x:c r="F959" s="55" t="n">
        <x:v>328.95</x:v>
      </x:c>
      <x:c r="G959" s="58" t="n">
        <x:f>E958</x:f>
        <x:v>26</x:v>
      </x:c>
      <x:c r="H959" s="58" t="n">
        <x:f>AVERAGE(E955:E958)</x:f>
        <x:v>121.5</x:v>
      </x:c>
      <x:c r="I959" s="58" t="n">
        <x:f>AVERAGE(E951:E958)</x:f>
        <x:v>80.25</x:v>
      </x:c>
      <x:c r="J959" s="58" t="n">
        <x:f>IF(G959="","",ABS(E959-G959))</x:f>
        <x:v>19</x:v>
      </x:c>
      <x:c r="K959" s="58" t="n">
        <x:f>IF(H959="","",ABS(E959-H959))</x:f>
        <x:v>76.5</x:v>
      </x:c>
      <x:c r="L959" s="58" t="n">
        <x:f>IF(I959="","",ABS(E959-I959))</x:f>
        <x:v>35.25</x:v>
      </x:c>
      <x:c r="M959" s="23" t="str">
        <x:f>IF(B959&gt;44,"Validation","Training")</x:f>
        <x:v>Training</x:v>
      </x:c>
      <x:c r="N959" s="61" t="n">
        <x:f>IF(OR(H959="",E959=0),"",K959/E959)</x:f>
        <x:v>1.7</x:v>
      </x:c>
    </x:row>
    <x:row r="960">
      <x:c r="A960" s="28" t="n">
        <x:v>40651</x:v>
      </x:c>
      <x:c r="B960" s="23" t="n">
        <x:v>20</x:v>
      </x:c>
      <x:c r="C960" s="23" t="str">
        <x:v>82484</x:v>
      </x:c>
      <x:c r="D960" s="23" t="str">
        <x:v>WOOD BLACK BOARD ANT WHITE FINISH</x:v>
      </x:c>
      <x:c r="E960" s="34" t="n">
        <x:v>125</x:v>
      </x:c>
      <x:c r="F960" s="55" t="n">
        <x:v>658.99</x:v>
      </x:c>
      <x:c r="G960" s="58" t="n">
        <x:f>E959</x:f>
        <x:v>45</x:v>
      </x:c>
      <x:c r="H960" s="58" t="n">
        <x:f>AVERAGE(E956:E959)</x:f>
        <x:v>116.5</x:v>
      </x:c>
      <x:c r="I960" s="58" t="n">
        <x:f>AVERAGE(E952:E959)</x:f>
        <x:v>80.5</x:v>
      </x:c>
      <x:c r="J960" s="58" t="n">
        <x:f>IF(G960="","",ABS(E960-G960))</x:f>
        <x:v>80</x:v>
      </x:c>
      <x:c r="K960" s="58" t="n">
        <x:f>IF(H960="","",ABS(E960-H960))</x:f>
        <x:v>8.5</x:v>
      </x:c>
      <x:c r="L960" s="58" t="n">
        <x:f>IF(I960="","",ABS(E960-I960))</x:f>
        <x:v>44.5</x:v>
      </x:c>
      <x:c r="M960" s="23" t="str">
        <x:f>IF(B960&gt;44,"Validation","Training")</x:f>
        <x:v>Training</x:v>
      </x:c>
      <x:c r="N960" s="61" t="n">
        <x:f>IF(OR(H960="",E960=0),"",K960/E960)</x:f>
        <x:v>0.068</x:v>
      </x:c>
    </x:row>
    <x:row r="961">
      <x:c r="A961" s="28" t="n">
        <x:v>40658</x:v>
      </x:c>
      <x:c r="B961" s="23" t="n">
        <x:v>21</x:v>
      </x:c>
      <x:c r="C961" s="23" t="str">
        <x:v>82484</x:v>
      </x:c>
      <x:c r="D961" s="23" t="str">
        <x:v>WOOD BLACK BOARD ANT WHITE FINISH</x:v>
      </x:c>
      <x:c r="E961" s="34" t="n">
        <x:v>35</x:v>
      </x:c>
      <x:c r="F961" s="55" t="n">
        <x:v>263.85</x:v>
      </x:c>
      <x:c r="G961" s="58" t="n">
        <x:f>E960</x:f>
        <x:v>125</x:v>
      </x:c>
      <x:c r="H961" s="58" t="n">
        <x:f>AVERAGE(E957:E960)</x:f>
        <x:v>60.5</x:v>
      </x:c>
      <x:c r="I961" s="58" t="n">
        <x:f>AVERAGE(E953:E960)</x:f>
        <x:v>92</x:v>
      </x:c>
      <x:c r="J961" s="58" t="n">
        <x:f>IF(G961="","",ABS(E961-G961))</x:f>
        <x:v>90</x:v>
      </x:c>
      <x:c r="K961" s="58" t="n">
        <x:f>IF(H961="","",ABS(E961-H961))</x:f>
        <x:v>25.5</x:v>
      </x:c>
      <x:c r="L961" s="58" t="n">
        <x:f>IF(I961="","",ABS(E961-I961))</x:f>
        <x:v>57</x:v>
      </x:c>
      <x:c r="M961" s="23" t="str">
        <x:f>IF(B961&gt;44,"Validation","Training")</x:f>
        <x:v>Training</x:v>
      </x:c>
      <x:c r="N961" s="61" t="n">
        <x:f>IF(OR(H961="",E961=0),"",K961/E961)</x:f>
        <x:v>0.7285714285714285</x:v>
      </x:c>
    </x:row>
    <x:row r="962">
      <x:c r="A962" s="28" t="n">
        <x:v>40665</x:v>
      </x:c>
      <x:c r="B962" s="23" t="n">
        <x:v>22</x:v>
      </x:c>
      <x:c r="C962" s="23" t="str">
        <x:v>82484</x:v>
      </x:c>
      <x:c r="D962" s="23" t="str">
        <x:v>WOOD BLACK BOARD ANT WHITE FINISH</x:v>
      </x:c>
      <x:c r="E962" s="34" t="n">
        <x:v>47</x:v>
      </x:c>
      <x:c r="F962" s="55" t="n">
        <x:v>344.85</x:v>
      </x:c>
      <x:c r="G962" s="58" t="n">
        <x:f>E961</x:f>
        <x:v>35</x:v>
      </x:c>
      <x:c r="H962" s="58" t="n">
        <x:f>AVERAGE(E958:E961)</x:f>
        <x:v>57.75</x:v>
      </x:c>
      <x:c r="I962" s="58" t="n">
        <x:f>AVERAGE(E954:E961)</x:f>
        <x:v>93.5</x:v>
      </x:c>
      <x:c r="J962" s="58" t="n">
        <x:f>IF(G962="","",ABS(E962-G962))</x:f>
        <x:v>12</x:v>
      </x:c>
      <x:c r="K962" s="58" t="n">
        <x:f>IF(H962="","",ABS(E962-H962))</x:f>
        <x:v>10.75</x:v>
      </x:c>
      <x:c r="L962" s="58" t="n">
        <x:f>IF(I962="","",ABS(E962-I962))</x:f>
        <x:v>46.5</x:v>
      </x:c>
      <x:c r="M962" s="23" t="str">
        <x:f>IF(B962&gt;44,"Validation","Training")</x:f>
        <x:v>Training</x:v>
      </x:c>
      <x:c r="N962" s="61" t="n">
        <x:f>IF(OR(H962="",E962=0),"",K962/E962)</x:f>
        <x:v>0.22872340425531915</x:v>
      </x:c>
    </x:row>
    <x:row r="963">
      <x:c r="A963" s="28" t="n">
        <x:v>40672</x:v>
      </x:c>
      <x:c r="B963" s="23" t="n">
        <x:v>23</x:v>
      </x:c>
      <x:c r="C963" s="23" t="str">
        <x:v>82484</x:v>
      </x:c>
      <x:c r="D963" s="23" t="str">
        <x:v>WOOD BLACK BOARD ANT WHITE FINISH</x:v>
      </x:c>
      <x:c r="E963" s="34" t="n">
        <x:v>41</x:v>
      </x:c>
      <x:c r="F963" s="55" t="n">
        <x:v>311.55</x:v>
      </x:c>
      <x:c r="G963" s="58" t="n">
        <x:f>E962</x:f>
        <x:v>47</x:v>
      </x:c>
      <x:c r="H963" s="58" t="n">
        <x:f>AVERAGE(E959:E962)</x:f>
        <x:v>63</x:v>
      </x:c>
      <x:c r="I963" s="58" t="n">
        <x:f>AVERAGE(E955:E962)</x:f>
        <x:v>92.25</x:v>
      </x:c>
      <x:c r="J963" s="58" t="n">
        <x:f>IF(G963="","",ABS(E963-G963))</x:f>
        <x:v>6</x:v>
      </x:c>
      <x:c r="K963" s="58" t="n">
        <x:f>IF(H963="","",ABS(E963-H963))</x:f>
        <x:v>22</x:v>
      </x:c>
      <x:c r="L963" s="58" t="n">
        <x:f>IF(I963="","",ABS(E963-I963))</x:f>
        <x:v>51.25</x:v>
      </x:c>
      <x:c r="M963" s="23" t="str">
        <x:f>IF(B963&gt;44,"Validation","Training")</x:f>
        <x:v>Training</x:v>
      </x:c>
      <x:c r="N963" s="61" t="n">
        <x:f>IF(OR(H963="",E963=0),"",K963/E963)</x:f>
        <x:v>0.5365853658536586</x:v>
      </x:c>
    </x:row>
    <x:row r="964">
      <x:c r="A964" s="28" t="n">
        <x:v>40679</x:v>
      </x:c>
      <x:c r="B964" s="23" t="n">
        <x:v>24</x:v>
      </x:c>
      <x:c r="C964" s="23" t="str">
        <x:v>82484</x:v>
      </x:c>
      <x:c r="D964" s="23" t="str">
        <x:v>WOOD BLACK BOARD ANT WHITE FINISH</x:v>
      </x:c>
      <x:c r="E964" s="34" t="n">
        <x:v>177</x:v>
      </x:c>
      <x:c r="F964" s="55" t="n">
        <x:v>1053.31</x:v>
      </x:c>
      <x:c r="G964" s="58" t="n">
        <x:f>E963</x:f>
        <x:v>41</x:v>
      </x:c>
      <x:c r="H964" s="58" t="n">
        <x:f>AVERAGE(E960:E963)</x:f>
        <x:v>62</x:v>
      </x:c>
      <x:c r="I964" s="58" t="n">
        <x:f>AVERAGE(E956:E963)</x:f>
        <x:v>89.25</x:v>
      </x:c>
      <x:c r="J964" s="58" t="n">
        <x:f>IF(G964="","",ABS(E964-G964))</x:f>
        <x:v>136</x:v>
      </x:c>
      <x:c r="K964" s="58" t="n">
        <x:f>IF(H964="","",ABS(E964-H964))</x:f>
        <x:v>115</x:v>
      </x:c>
      <x:c r="L964" s="58" t="n">
        <x:f>IF(I964="","",ABS(E964-I964))</x:f>
        <x:v>87.75</x:v>
      </x:c>
      <x:c r="M964" s="23" t="str">
        <x:f>IF(B964&gt;44,"Validation","Training")</x:f>
        <x:v>Training</x:v>
      </x:c>
      <x:c r="N964" s="61" t="n">
        <x:f>IF(OR(H964="",E964=0),"",K964/E964)</x:f>
        <x:v>0.6497175141242938</x:v>
      </x:c>
    </x:row>
    <x:row r="965">
      <x:c r="A965" s="28" t="n">
        <x:v>40686</x:v>
      </x:c>
      <x:c r="B965" s="23" t="n">
        <x:v>25</x:v>
      </x:c>
      <x:c r="C965" s="23" t="str">
        <x:v>82484</x:v>
      </x:c>
      <x:c r="D965" s="23" t="str">
        <x:v>WOOD BLACK BOARD ANT WHITE FINISH</x:v>
      </x:c>
      <x:c r="E965" s="34" t="n">
        <x:v>36</x:v>
      </x:c>
      <x:c r="F965" s="55" t="n">
        <x:v>271.8</x:v>
      </x:c>
      <x:c r="G965" s="58" t="n">
        <x:f>E964</x:f>
        <x:v>177</x:v>
      </x:c>
      <x:c r="H965" s="58" t="n">
        <x:f>AVERAGE(E961:E964)</x:f>
        <x:v>75</x:v>
      </x:c>
      <x:c r="I965" s="58" t="n">
        <x:f>AVERAGE(E957:E964)</x:f>
        <x:v>67.75</x:v>
      </x:c>
      <x:c r="J965" s="58" t="n">
        <x:f>IF(G965="","",ABS(E965-G965))</x:f>
        <x:v>141</x:v>
      </x:c>
      <x:c r="K965" s="58" t="n">
        <x:f>IF(H965="","",ABS(E965-H965))</x:f>
        <x:v>39</x:v>
      </x:c>
      <x:c r="L965" s="58" t="n">
        <x:f>IF(I965="","",ABS(E965-I965))</x:f>
        <x:v>31.75</x:v>
      </x:c>
      <x:c r="M965" s="23" t="str">
        <x:f>IF(B965&gt;44,"Validation","Training")</x:f>
        <x:v>Training</x:v>
      </x:c>
      <x:c r="N965" s="61" t="n">
        <x:f>IF(OR(H965="",E965=0),"",K965/E965)</x:f>
        <x:v>1.0833333333333333</x:v>
      </x:c>
    </x:row>
    <x:row r="966">
      <x:c r="A966" s="28" t="n">
        <x:v>40693</x:v>
      </x:c>
      <x:c r="B966" s="23" t="n">
        <x:v>26</x:v>
      </x:c>
      <x:c r="C966" s="23" t="str">
        <x:v>82484</x:v>
      </x:c>
      <x:c r="D966" s="23" t="str">
        <x:v>WOOD BLACK BOARD ANT WHITE FINISH</x:v>
      </x:c>
      <x:c r="E966" s="34" t="n">
        <x:v>57</x:v>
      </x:c>
      <x:c r="F966" s="55" t="n">
        <x:v>420.75</x:v>
      </x:c>
      <x:c r="G966" s="58" t="n">
        <x:f>E965</x:f>
        <x:v>36</x:v>
      </x:c>
      <x:c r="H966" s="58" t="n">
        <x:f>AVERAGE(E962:E965)</x:f>
        <x:v>75.25</x:v>
      </x:c>
      <x:c r="I966" s="58" t="n">
        <x:f>AVERAGE(E958:E965)</x:f>
        <x:v>66.5</x:v>
      </x:c>
      <x:c r="J966" s="58" t="n">
        <x:f>IF(G966="","",ABS(E966-G966))</x:f>
        <x:v>21</x:v>
      </x:c>
      <x:c r="K966" s="58" t="n">
        <x:f>IF(H966="","",ABS(E966-H966))</x:f>
        <x:v>18.25</x:v>
      </x:c>
      <x:c r="L966" s="58" t="n">
        <x:f>IF(I966="","",ABS(E966-I966))</x:f>
        <x:v>9.5</x:v>
      </x:c>
      <x:c r="M966" s="23" t="str">
        <x:f>IF(B966&gt;44,"Validation","Training")</x:f>
        <x:v>Training</x:v>
      </x:c>
      <x:c r="N966" s="61" t="n">
        <x:f>IF(OR(H966="",E966=0),"",K966/E966)</x:f>
        <x:v>0.3201754385964912</x:v>
      </x:c>
    </x:row>
    <x:row r="967">
      <x:c r="A967" s="28" t="n">
        <x:v>40700</x:v>
      </x:c>
      <x:c r="B967" s="23" t="n">
        <x:v>27</x:v>
      </x:c>
      <x:c r="C967" s="23" t="str">
        <x:v>82484</x:v>
      </x:c>
      <x:c r="D967" s="23" t="str">
        <x:v>WOOD BLACK BOARD ANT WHITE FINISH</x:v>
      </x:c>
      <x:c r="E967" s="34" t="n">
        <x:v>76</x:v>
      </x:c>
      <x:c r="F967" s="55" t="n">
        <x:v>590</x:v>
      </x:c>
      <x:c r="G967" s="58" t="n">
        <x:f>E966</x:f>
        <x:v>57</x:v>
      </x:c>
      <x:c r="H967" s="58" t="n">
        <x:f>AVERAGE(E963:E966)</x:f>
        <x:v>77.75</x:v>
      </x:c>
      <x:c r="I967" s="58" t="n">
        <x:f>AVERAGE(E959:E966)</x:f>
        <x:v>70.375</x:v>
      </x:c>
      <x:c r="J967" s="58" t="n">
        <x:f>IF(G967="","",ABS(E967-G967))</x:f>
        <x:v>19</x:v>
      </x:c>
      <x:c r="K967" s="58" t="n">
        <x:f>IF(H967="","",ABS(E967-H967))</x:f>
        <x:v>1.75</x:v>
      </x:c>
      <x:c r="L967" s="58" t="n">
        <x:f>IF(I967="","",ABS(E967-I967))</x:f>
        <x:v>5.625</x:v>
      </x:c>
      <x:c r="M967" s="23" t="str">
        <x:f>IF(B967&gt;44,"Validation","Training")</x:f>
        <x:v>Training</x:v>
      </x:c>
      <x:c r="N967" s="61" t="n">
        <x:f>IF(OR(H967="",E967=0),"",K967/E967)</x:f>
        <x:v>0.023026315789473683</x:v>
      </x:c>
    </x:row>
    <x:row r="968">
      <x:c r="A968" s="28" t="n">
        <x:v>40707</x:v>
      </x:c>
      <x:c r="B968" s="23" t="n">
        <x:v>28</x:v>
      </x:c>
      <x:c r="C968" s="23" t="str">
        <x:v>82484</x:v>
      </x:c>
      <x:c r="D968" s="23" t="str">
        <x:v>WOOD BLACK BOARD ANT WHITE FINISH</x:v>
      </x:c>
      <x:c r="E968" s="34" t="n">
        <x:v>345</x:v>
      </x:c>
      <x:c r="F968" s="55" t="n">
        <x:v>1759.95</x:v>
      </x:c>
      <x:c r="G968" s="58" t="n">
        <x:f>E967</x:f>
        <x:v>76</x:v>
      </x:c>
      <x:c r="H968" s="58" t="n">
        <x:f>AVERAGE(E964:E967)</x:f>
        <x:v>86.5</x:v>
      </x:c>
      <x:c r="I968" s="58" t="n">
        <x:f>AVERAGE(E960:E967)</x:f>
        <x:v>74.25</x:v>
      </x:c>
      <x:c r="J968" s="58" t="n">
        <x:f>IF(G968="","",ABS(E968-G968))</x:f>
        <x:v>269</x:v>
      </x:c>
      <x:c r="K968" s="58" t="n">
        <x:f>IF(H968="","",ABS(E968-H968))</x:f>
        <x:v>258.5</x:v>
      </x:c>
      <x:c r="L968" s="58" t="n">
        <x:f>IF(I968="","",ABS(E968-I968))</x:f>
        <x:v>270.75</x:v>
      </x:c>
      <x:c r="M968" s="23" t="str">
        <x:f>IF(B968&gt;44,"Validation","Training")</x:f>
        <x:v>Training</x:v>
      </x:c>
      <x:c r="N968" s="61" t="n">
        <x:f>IF(OR(H968="",E968=0),"",K968/E968)</x:f>
        <x:v>0.7492753623188406</x:v>
      </x:c>
    </x:row>
    <x:row r="969">
      <x:c r="A969" s="28" t="n">
        <x:v>40714</x:v>
      </x:c>
      <x:c r="B969" s="23" t="n">
        <x:v>29</x:v>
      </x:c>
      <x:c r="C969" s="23" t="str">
        <x:v>82484</x:v>
      </x:c>
      <x:c r="D969" s="23" t="str">
        <x:v>WOOD BLACK BOARD ANT WHITE FINISH</x:v>
      </x:c>
      <x:c r="E969" s="34" t="n">
        <x:v>60</x:v>
      </x:c>
      <x:c r="F969" s="55" t="n">
        <x:v>442.48</x:v>
      </x:c>
      <x:c r="G969" s="58" t="n">
        <x:f>E968</x:f>
        <x:v>345</x:v>
      </x:c>
      <x:c r="H969" s="58" t="n">
        <x:f>AVERAGE(E965:E968)</x:f>
        <x:v>128.5</x:v>
      </x:c>
      <x:c r="I969" s="58" t="n">
        <x:f>AVERAGE(E961:E968)</x:f>
        <x:v>101.75</x:v>
      </x:c>
      <x:c r="J969" s="58" t="n">
        <x:f>IF(G969="","",ABS(E969-G969))</x:f>
        <x:v>285</x:v>
      </x:c>
      <x:c r="K969" s="58" t="n">
        <x:f>IF(H969="","",ABS(E969-H969))</x:f>
        <x:v>68.5</x:v>
      </x:c>
      <x:c r="L969" s="58" t="n">
        <x:f>IF(I969="","",ABS(E969-I969))</x:f>
        <x:v>41.75</x:v>
      </x:c>
      <x:c r="M969" s="23" t="str">
        <x:f>IF(B969&gt;44,"Validation","Training")</x:f>
        <x:v>Training</x:v>
      </x:c>
      <x:c r="N969" s="61" t="n">
        <x:f>IF(OR(H969="",E969=0),"",K969/E969)</x:f>
        <x:v>1.1416666666666666</x:v>
      </x:c>
    </x:row>
    <x:row r="970">
      <x:c r="A970" s="28" t="n">
        <x:v>40721</x:v>
      </x:c>
      <x:c r="B970" s="23" t="n">
        <x:v>30</x:v>
      </x:c>
      <x:c r="C970" s="23" t="str">
        <x:v>82484</x:v>
      </x:c>
      <x:c r="D970" s="23" t="str">
        <x:v>WOOD BLACK BOARD ANT WHITE FINISH</x:v>
      </x:c>
      <x:c r="E970" s="34" t="n">
        <x:v>42</x:v>
      </x:c>
      <x:c r="F970" s="55" t="n">
        <x:v>313.78</x:v>
      </x:c>
      <x:c r="G970" s="58" t="n">
        <x:f>E969</x:f>
        <x:v>60</x:v>
      </x:c>
      <x:c r="H970" s="58" t="n">
        <x:f>AVERAGE(E966:E969)</x:f>
        <x:v>134.5</x:v>
      </x:c>
      <x:c r="I970" s="58" t="n">
        <x:f>AVERAGE(E962:E969)</x:f>
        <x:v>104.875</x:v>
      </x:c>
      <x:c r="J970" s="58" t="n">
        <x:f>IF(G970="","",ABS(E970-G970))</x:f>
        <x:v>18</x:v>
      </x:c>
      <x:c r="K970" s="58" t="n">
        <x:f>IF(H970="","",ABS(E970-H970))</x:f>
        <x:v>92.5</x:v>
      </x:c>
      <x:c r="L970" s="58" t="n">
        <x:f>IF(I970="","",ABS(E970-I970))</x:f>
        <x:v>62.875</x:v>
      </x:c>
      <x:c r="M970" s="23" t="str">
        <x:f>IF(B970&gt;44,"Validation","Training")</x:f>
        <x:v>Training</x:v>
      </x:c>
      <x:c r="N970" s="61" t="n">
        <x:f>IF(OR(H970="",E970=0),"",K970/E970)</x:f>
        <x:v>2.2023809523809526</x:v>
      </x:c>
    </x:row>
    <x:row r="971">
      <x:c r="A971" s="28" t="n">
        <x:v>40728</x:v>
      </x:c>
      <x:c r="B971" s="23" t="n">
        <x:v>31</x:v>
      </x:c>
      <x:c r="C971" s="23" t="str">
        <x:v>82484</x:v>
      </x:c>
      <x:c r="D971" s="23" t="str">
        <x:v>WOOD BLACK BOARD ANT WHITE FINISH</x:v>
      </x:c>
      <x:c r="E971" s="34" t="n">
        <x:v>34</x:v>
      </x:c>
      <x:c r="F971" s="55" t="n">
        <x:v>255.9</x:v>
      </x:c>
      <x:c r="G971" s="58" t="n">
        <x:f>E970</x:f>
        <x:v>42</x:v>
      </x:c>
      <x:c r="H971" s="58" t="n">
        <x:f>AVERAGE(E967:E970)</x:f>
        <x:v>130.75</x:v>
      </x:c>
      <x:c r="I971" s="58" t="n">
        <x:f>AVERAGE(E963:E970)</x:f>
        <x:v>104.25</x:v>
      </x:c>
      <x:c r="J971" s="58" t="n">
        <x:f>IF(G971="","",ABS(E971-G971))</x:f>
        <x:v>8</x:v>
      </x:c>
      <x:c r="K971" s="58" t="n">
        <x:f>IF(H971="","",ABS(E971-H971))</x:f>
        <x:v>96.75</x:v>
      </x:c>
      <x:c r="L971" s="58" t="n">
        <x:f>IF(I971="","",ABS(E971-I971))</x:f>
        <x:v>70.25</x:v>
      </x:c>
      <x:c r="M971" s="23" t="str">
        <x:f>IF(B971&gt;44,"Validation","Training")</x:f>
        <x:v>Training</x:v>
      </x:c>
      <x:c r="N971" s="61" t="n">
        <x:f>IF(OR(H971="",E971=0),"",K971/E971)</x:f>
        <x:v>2.8455882352941178</x:v>
      </x:c>
    </x:row>
    <x:row r="972">
      <x:c r="A972" s="28" t="n">
        <x:v>40735</x:v>
      </x:c>
      <x:c r="B972" s="23" t="n">
        <x:v>32</x:v>
      </x:c>
      <x:c r="C972" s="23" t="str">
        <x:v>82484</x:v>
      </x:c>
      <x:c r="D972" s="23" t="str">
        <x:v>WOOD BLACK BOARD ANT WHITE FINISH</x:v>
      </x:c>
      <x:c r="E972" s="34" t="n">
        <x:v>39</x:v>
      </x:c>
      <x:c r="F972" s="55" t="n">
        <x:v>289.93</x:v>
      </x:c>
      <x:c r="G972" s="58" t="n">
        <x:f>E971</x:f>
        <x:v>34</x:v>
      </x:c>
      <x:c r="H972" s="58" t="n">
        <x:f>AVERAGE(E968:E971)</x:f>
        <x:v>120.25</x:v>
      </x:c>
      <x:c r="I972" s="58" t="n">
        <x:f>AVERAGE(E964:E971)</x:f>
        <x:v>103.375</x:v>
      </x:c>
      <x:c r="J972" s="58" t="n">
        <x:f>IF(G972="","",ABS(E972-G972))</x:f>
        <x:v>5</x:v>
      </x:c>
      <x:c r="K972" s="58" t="n">
        <x:f>IF(H972="","",ABS(E972-H972))</x:f>
        <x:v>81.25</x:v>
      </x:c>
      <x:c r="L972" s="58" t="n">
        <x:f>IF(I972="","",ABS(E972-I972))</x:f>
        <x:v>64.375</x:v>
      </x:c>
      <x:c r="M972" s="23" t="str">
        <x:f>IF(B972&gt;44,"Validation","Training")</x:f>
        <x:v>Training</x:v>
      </x:c>
      <x:c r="N972" s="61" t="n">
        <x:f>IF(OR(H972="",E972=0),"",K972/E972)</x:f>
        <x:v>2.0833333333333335</x:v>
      </x:c>
    </x:row>
    <x:row r="973">
      <x:c r="A973" s="28" t="n">
        <x:v>40742</x:v>
      </x:c>
      <x:c r="B973" s="23" t="n">
        <x:v>33</x:v>
      </x:c>
      <x:c r="C973" s="23" t="str">
        <x:v>82484</x:v>
      </x:c>
      <x:c r="D973" s="23" t="str">
        <x:v>WOOD BLACK BOARD ANT WHITE FINISH</x:v>
      </x:c>
      <x:c r="E973" s="34" t="n">
        <x:v>163</x:v>
      </x:c>
      <x:c r="F973" s="55" t="n">
        <x:v>941.25</x:v>
      </x:c>
      <x:c r="G973" s="58" t="n">
        <x:f>E972</x:f>
        <x:v>39</x:v>
      </x:c>
      <x:c r="H973" s="58" t="n">
        <x:f>AVERAGE(E969:E972)</x:f>
        <x:v>43.75</x:v>
      </x:c>
      <x:c r="I973" s="58" t="n">
        <x:f>AVERAGE(E965:E972)</x:f>
        <x:v>86.125</x:v>
      </x:c>
      <x:c r="J973" s="58" t="n">
        <x:f>IF(G973="","",ABS(E973-G973))</x:f>
        <x:v>124</x:v>
      </x:c>
      <x:c r="K973" s="58" t="n">
        <x:f>IF(H973="","",ABS(E973-H973))</x:f>
        <x:v>119.25</x:v>
      </x:c>
      <x:c r="L973" s="58" t="n">
        <x:f>IF(I973="","",ABS(E973-I973))</x:f>
        <x:v>76.875</x:v>
      </x:c>
      <x:c r="M973" s="23" t="str">
        <x:f>IF(B973&gt;44,"Validation","Training")</x:f>
        <x:v>Training</x:v>
      </x:c>
      <x:c r="N973" s="61" t="n">
        <x:f>IF(OR(H973="",E973=0),"",K973/E973)</x:f>
        <x:v>0.7315950920245399</x:v>
      </x:c>
    </x:row>
    <x:row r="974">
      <x:c r="A974" s="28" t="n">
        <x:v>40749</x:v>
      </x:c>
      <x:c r="B974" s="23" t="n">
        <x:v>34</x:v>
      </x:c>
      <x:c r="C974" s="23" t="str">
        <x:v>82484</x:v>
      </x:c>
      <x:c r="D974" s="23" t="str">
        <x:v>WOOD BLACK BOARD ANT WHITE FINISH</x:v>
      </x:c>
      <x:c r="E974" s="34" t="n">
        <x:v>256</x:v>
      </x:c>
      <x:c r="F974" s="55" t="n">
        <x:v>1349.4</x:v>
      </x:c>
      <x:c r="G974" s="58" t="n">
        <x:f>E973</x:f>
        <x:v>163</x:v>
      </x:c>
      <x:c r="H974" s="58" t="n">
        <x:f>AVERAGE(E970:E973)</x:f>
        <x:v>69.5</x:v>
      </x:c>
      <x:c r="I974" s="58" t="n">
        <x:f>AVERAGE(E966:E973)</x:f>
        <x:v>102</x:v>
      </x:c>
      <x:c r="J974" s="58" t="n">
        <x:f>IF(G974="","",ABS(E974-G974))</x:f>
        <x:v>93</x:v>
      </x:c>
      <x:c r="K974" s="58" t="n">
        <x:f>IF(H974="","",ABS(E974-H974))</x:f>
        <x:v>186.5</x:v>
      </x:c>
      <x:c r="L974" s="58" t="n">
        <x:f>IF(I974="","",ABS(E974-I974))</x:f>
        <x:v>154</x:v>
      </x:c>
      <x:c r="M974" s="23" t="str">
        <x:f>IF(B974&gt;44,"Validation","Training")</x:f>
        <x:v>Training</x:v>
      </x:c>
      <x:c r="N974" s="61" t="n">
        <x:f>IF(OR(H974="",E974=0),"",K974/E974)</x:f>
        <x:v>0.728515625</x:v>
      </x:c>
    </x:row>
    <x:row r="975">
      <x:c r="A975" s="28" t="n">
        <x:v>40756</x:v>
      </x:c>
      <x:c r="B975" s="23" t="n">
        <x:v>35</x:v>
      </x:c>
      <x:c r="C975" s="23" t="str">
        <x:v>82484</x:v>
      </x:c>
      <x:c r="D975" s="23" t="str">
        <x:v>WOOD BLACK BOARD ANT WHITE FINISH</x:v>
      </x:c>
      <x:c r="E975" s="34" t="n">
        <x:v>101</x:v>
      </x:c>
      <x:c r="F975" s="55" t="n">
        <x:v>698.11</x:v>
      </x:c>
      <x:c r="G975" s="58" t="n">
        <x:f>E974</x:f>
        <x:v>256</x:v>
      </x:c>
      <x:c r="H975" s="58" t="n">
        <x:f>AVERAGE(E971:E974)</x:f>
        <x:v>123</x:v>
      </x:c>
      <x:c r="I975" s="58" t="n">
        <x:f>AVERAGE(E967:E974)</x:f>
        <x:v>126.875</x:v>
      </x:c>
      <x:c r="J975" s="58" t="n">
        <x:f>IF(G975="","",ABS(E975-G975))</x:f>
        <x:v>155</x:v>
      </x:c>
      <x:c r="K975" s="58" t="n">
        <x:f>IF(H975="","",ABS(E975-H975))</x:f>
        <x:v>22</x:v>
      </x:c>
      <x:c r="L975" s="58" t="n">
        <x:f>IF(I975="","",ABS(E975-I975))</x:f>
        <x:v>25.875</x:v>
      </x:c>
      <x:c r="M975" s="23" t="str">
        <x:f>IF(B975&gt;44,"Validation","Training")</x:f>
        <x:v>Training</x:v>
      </x:c>
      <x:c r="N975" s="61" t="n">
        <x:f>IF(OR(H975="",E975=0),"",K975/E975)</x:f>
        <x:v>0.21782178217821782</x:v>
      </x:c>
    </x:row>
    <x:row r="976">
      <x:c r="A976" s="28" t="n">
        <x:v>40763</x:v>
      </x:c>
      <x:c r="B976" s="23" t="n">
        <x:v>36</x:v>
      </x:c>
      <x:c r="C976" s="23" t="str">
        <x:v>82484</x:v>
      </x:c>
      <x:c r="D976" s="23" t="str">
        <x:v>WOOD BLACK BOARD ANT WHITE FINISH</x:v>
      </x:c>
      <x:c r="E976" s="34" t="n">
        <x:v>38</x:v>
      </x:c>
      <x:c r="F976" s="55" t="n">
        <x:v>348.46</x:v>
      </x:c>
      <x:c r="G976" s="58" t="n">
        <x:f>E975</x:f>
        <x:v>101</x:v>
      </x:c>
      <x:c r="H976" s="58" t="n">
        <x:f>AVERAGE(E972:E975)</x:f>
        <x:v>139.75</x:v>
      </x:c>
      <x:c r="I976" s="58" t="n">
        <x:f>AVERAGE(E968:E975)</x:f>
        <x:v>130</x:v>
      </x:c>
      <x:c r="J976" s="58" t="n">
        <x:f>IF(G976="","",ABS(E976-G976))</x:f>
        <x:v>63</x:v>
      </x:c>
      <x:c r="K976" s="58" t="n">
        <x:f>IF(H976="","",ABS(E976-H976))</x:f>
        <x:v>101.75</x:v>
      </x:c>
      <x:c r="L976" s="58" t="n">
        <x:f>IF(I976="","",ABS(E976-I976))</x:f>
        <x:v>92</x:v>
      </x:c>
      <x:c r="M976" s="23" t="str">
        <x:f>IF(B976&gt;44,"Validation","Training")</x:f>
        <x:v>Training</x:v>
      </x:c>
      <x:c r="N976" s="61" t="n">
        <x:f>IF(OR(H976="",E976=0),"",K976/E976)</x:f>
        <x:v>2.6776315789473686</x:v>
      </x:c>
    </x:row>
    <x:row r="977">
      <x:c r="A977" s="28" t="n">
        <x:v>40770</x:v>
      </x:c>
      <x:c r="B977" s="23" t="n">
        <x:v>37</x:v>
      </x:c>
      <x:c r="C977" s="23" t="str">
        <x:v>82484</x:v>
      </x:c>
      <x:c r="D977" s="23" t="str">
        <x:v>WOOD BLACK BOARD ANT WHITE FINISH</x:v>
      </x:c>
      <x:c r="E977" s="34" t="n">
        <x:v>66</x:v>
      </x:c>
      <x:c r="F977" s="55" t="n">
        <x:v>510.3</x:v>
      </x:c>
      <x:c r="G977" s="58" t="n">
        <x:f>E976</x:f>
        <x:v>38</x:v>
      </x:c>
      <x:c r="H977" s="58" t="n">
        <x:f>AVERAGE(E973:E976)</x:f>
        <x:v>139.5</x:v>
      </x:c>
      <x:c r="I977" s="58" t="n">
        <x:f>AVERAGE(E969:E976)</x:f>
        <x:v>91.625</x:v>
      </x:c>
      <x:c r="J977" s="58" t="n">
        <x:f>IF(G977="","",ABS(E977-G977))</x:f>
        <x:v>28</x:v>
      </x:c>
      <x:c r="K977" s="58" t="n">
        <x:f>IF(H977="","",ABS(E977-H977))</x:f>
        <x:v>73.5</x:v>
      </x:c>
      <x:c r="L977" s="58" t="n">
        <x:f>IF(I977="","",ABS(E977-I977))</x:f>
        <x:v>25.625</x:v>
      </x:c>
      <x:c r="M977" s="23" t="str">
        <x:f>IF(B977&gt;44,"Validation","Training")</x:f>
        <x:v>Training</x:v>
      </x:c>
      <x:c r="N977" s="61" t="n">
        <x:f>IF(OR(H977="",E977=0),"",K977/E977)</x:f>
        <x:v>1.1136363636363635</x:v>
      </x:c>
    </x:row>
    <x:row r="978">
      <x:c r="A978" s="28" t="n">
        <x:v>40777</x:v>
      </x:c>
      <x:c r="B978" s="23" t="n">
        <x:v>38</x:v>
      </x:c>
      <x:c r="C978" s="23" t="str">
        <x:v>82484</x:v>
      </x:c>
      <x:c r="D978" s="23" t="str">
        <x:v>WOOD BLACK BOARD ANT WHITE FINISH</x:v>
      </x:c>
      <x:c r="E978" s="34" t="n">
        <x:v>47</x:v>
      </x:c>
      <x:c r="F978" s="55" t="n">
        <x:v>344.85</x:v>
      </x:c>
      <x:c r="G978" s="58" t="n">
        <x:f>E977</x:f>
        <x:v>66</x:v>
      </x:c>
      <x:c r="H978" s="58" t="n">
        <x:f>AVERAGE(E974:E977)</x:f>
        <x:v>115.25</x:v>
      </x:c>
      <x:c r="I978" s="58" t="n">
        <x:f>AVERAGE(E970:E977)</x:f>
        <x:v>92.375</x:v>
      </x:c>
      <x:c r="J978" s="58" t="n">
        <x:f>IF(G978="","",ABS(E978-G978))</x:f>
        <x:v>19</x:v>
      </x:c>
      <x:c r="K978" s="58" t="n">
        <x:f>IF(H978="","",ABS(E978-H978))</x:f>
        <x:v>68.25</x:v>
      </x:c>
      <x:c r="L978" s="58" t="n">
        <x:f>IF(I978="","",ABS(E978-I978))</x:f>
        <x:v>45.375</x:v>
      </x:c>
      <x:c r="M978" s="23" t="str">
        <x:f>IF(B978&gt;44,"Validation","Training")</x:f>
        <x:v>Training</x:v>
      </x:c>
      <x:c r="N978" s="61" t="n">
        <x:f>IF(OR(H978="",E978=0),"",K978/E978)</x:f>
        <x:v>1.452127659574468</x:v>
      </x:c>
    </x:row>
    <x:row r="979">
      <x:c r="A979" s="28" t="n">
        <x:v>40784</x:v>
      </x:c>
      <x:c r="B979" s="23" t="n">
        <x:v>39</x:v>
      </x:c>
      <x:c r="C979" s="23" t="str">
        <x:v>82484</x:v>
      </x:c>
      <x:c r="D979" s="23" t="str">
        <x:v>WOOD BLACK BOARD ANT WHITE FINISH</x:v>
      </x:c>
      <x:c r="E979" s="34" t="n">
        <x:v>370</x:v>
      </x:c>
      <x:c r="F979" s="55" t="n">
        <x:v>2057.46</x:v>
      </x:c>
      <x:c r="G979" s="58" t="n">
        <x:f>E978</x:f>
        <x:v>47</x:v>
      </x:c>
      <x:c r="H979" s="58" t="n">
        <x:f>AVERAGE(E975:E978)</x:f>
        <x:v>63</x:v>
      </x:c>
      <x:c r="I979" s="58" t="n">
        <x:f>AVERAGE(E971:E978)</x:f>
        <x:v>93</x:v>
      </x:c>
      <x:c r="J979" s="58" t="n">
        <x:f>IF(G979="","",ABS(E979-G979))</x:f>
        <x:v>323</x:v>
      </x:c>
      <x:c r="K979" s="58" t="n">
        <x:f>IF(H979="","",ABS(E979-H979))</x:f>
        <x:v>307</x:v>
      </x:c>
      <x:c r="L979" s="58" t="n">
        <x:f>IF(I979="","",ABS(E979-I979))</x:f>
        <x:v>277</x:v>
      </x:c>
      <x:c r="M979" s="23" t="str">
        <x:f>IF(B979&gt;44,"Validation","Training")</x:f>
        <x:v>Training</x:v>
      </x:c>
      <x:c r="N979" s="61" t="n">
        <x:f>IF(OR(H979="",E979=0),"",K979/E979)</x:f>
        <x:v>0.8297297297297297</x:v>
      </x:c>
    </x:row>
    <x:row r="980">
      <x:c r="A980" s="28" t="n">
        <x:v>40791</x:v>
      </x:c>
      <x:c r="B980" s="23" t="n">
        <x:v>40</x:v>
      </x:c>
      <x:c r="C980" s="23" t="str">
        <x:v>82484</x:v>
      </x:c>
      <x:c r="D980" s="23" t="str">
        <x:v>WOOD BLACK BOARD ANT WHITE FINISH</x:v>
      </x:c>
      <x:c r="E980" s="34" t="n">
        <x:v>63</x:v>
      </x:c>
      <x:c r="F980" s="55" t="n">
        <x:v>489.41</x:v>
      </x:c>
      <x:c r="G980" s="58" t="n">
        <x:f>E979</x:f>
        <x:v>370</x:v>
      </x:c>
      <x:c r="H980" s="58" t="n">
        <x:f>AVERAGE(E976:E979)</x:f>
        <x:v>130.25</x:v>
      </x:c>
      <x:c r="I980" s="58" t="n">
        <x:f>AVERAGE(E972:E979)</x:f>
        <x:v>135</x:v>
      </x:c>
      <x:c r="J980" s="58" t="n">
        <x:f>IF(G980="","",ABS(E980-G980))</x:f>
        <x:v>307</x:v>
      </x:c>
      <x:c r="K980" s="58" t="n">
        <x:f>IF(H980="","",ABS(E980-H980))</x:f>
        <x:v>67.25</x:v>
      </x:c>
      <x:c r="L980" s="58" t="n">
        <x:f>IF(I980="","",ABS(E980-I980))</x:f>
        <x:v>72</x:v>
      </x:c>
      <x:c r="M980" s="23" t="str">
        <x:f>IF(B980&gt;44,"Validation","Training")</x:f>
        <x:v>Training</x:v>
      </x:c>
      <x:c r="N980" s="61" t="n">
        <x:f>IF(OR(H980="",E980=0),"",K980/E980)</x:f>
        <x:v>1.0674603174603174</x:v>
      </x:c>
    </x:row>
    <x:row r="981">
      <x:c r="A981" s="28" t="n">
        <x:v>40798</x:v>
      </x:c>
      <x:c r="B981" s="23" t="n">
        <x:v>41</x:v>
      </x:c>
      <x:c r="C981" s="23" t="str">
        <x:v>82484</x:v>
      </x:c>
      <x:c r="D981" s="23" t="str">
        <x:v>WOOD BLACK BOARD ANT WHITE FINISH</x:v>
      </x:c>
      <x:c r="E981" s="34" t="n">
        <x:v>50</x:v>
      </x:c>
      <x:c r="F981" s="55" t="n">
        <x:v>417.82</x:v>
      </x:c>
      <x:c r="G981" s="58" t="n">
        <x:f>E980</x:f>
        <x:v>63</x:v>
      </x:c>
      <x:c r="H981" s="58" t="n">
        <x:f>AVERAGE(E977:E980)</x:f>
        <x:v>136.5</x:v>
      </x:c>
      <x:c r="I981" s="58" t="n">
        <x:f>AVERAGE(E973:E980)</x:f>
        <x:v>138</x:v>
      </x:c>
      <x:c r="J981" s="58" t="n">
        <x:f>IF(G981="","",ABS(E981-G981))</x:f>
        <x:v>13</x:v>
      </x:c>
      <x:c r="K981" s="58" t="n">
        <x:f>IF(H981="","",ABS(E981-H981))</x:f>
        <x:v>86.5</x:v>
      </x:c>
      <x:c r="L981" s="58" t="n">
        <x:f>IF(I981="","",ABS(E981-I981))</x:f>
        <x:v>88</x:v>
      </x:c>
      <x:c r="M981" s="23" t="str">
        <x:f>IF(B981&gt;44,"Validation","Training")</x:f>
        <x:v>Training</x:v>
      </x:c>
      <x:c r="N981" s="61" t="n">
        <x:f>IF(OR(H981="",E981=0),"",K981/E981)</x:f>
        <x:v>1.73</x:v>
      </x:c>
    </x:row>
    <x:row r="982">
      <x:c r="A982" s="28" t="n">
        <x:v>40805</x:v>
      </x:c>
      <x:c r="B982" s="23" t="n">
        <x:v>42</x:v>
      </x:c>
      <x:c r="C982" s="23" t="str">
        <x:v>82484</x:v>
      </x:c>
      <x:c r="D982" s="23" t="str">
        <x:v>WOOD BLACK BOARD ANT WHITE FINISH</x:v>
      </x:c>
      <x:c r="E982" s="34" t="n">
        <x:v>43</x:v>
      </x:c>
      <x:c r="F982" s="55" t="n">
        <x:v>336.13</x:v>
      </x:c>
      <x:c r="G982" s="58" t="n">
        <x:f>E981</x:f>
        <x:v>50</x:v>
      </x:c>
      <x:c r="H982" s="58" t="n">
        <x:f>AVERAGE(E978:E981)</x:f>
        <x:v>132.5</x:v>
      </x:c>
      <x:c r="I982" s="58" t="n">
        <x:f>AVERAGE(E974:E981)</x:f>
        <x:v>123.875</x:v>
      </x:c>
      <x:c r="J982" s="58" t="n">
        <x:f>IF(G982="","",ABS(E982-G982))</x:f>
        <x:v>7</x:v>
      </x:c>
      <x:c r="K982" s="58" t="n">
        <x:f>IF(H982="","",ABS(E982-H982))</x:f>
        <x:v>89.5</x:v>
      </x:c>
      <x:c r="L982" s="58" t="n">
        <x:f>IF(I982="","",ABS(E982-I982))</x:f>
        <x:v>80.875</x:v>
      </x:c>
      <x:c r="M982" s="23" t="str">
        <x:f>IF(B982&gt;44,"Validation","Training")</x:f>
        <x:v>Training</x:v>
      </x:c>
      <x:c r="N982" s="61" t="n">
        <x:f>IF(OR(H982="",E982=0),"",K982/E982)</x:f>
        <x:v>2.0813953488372094</x:v>
      </x:c>
    </x:row>
    <x:row r="983">
      <x:c r="A983" s="28" t="n">
        <x:v>40812</x:v>
      </x:c>
      <x:c r="B983" s="23" t="n">
        <x:v>43</x:v>
      </x:c>
      <x:c r="C983" s="23" t="str">
        <x:v>82484</x:v>
      </x:c>
      <x:c r="D983" s="23" t="str">
        <x:v>WOOD BLACK BOARD ANT WHITE FINISH</x:v>
      </x:c>
      <x:c r="E983" s="34" t="n">
        <x:v>6</x:v>
      </x:c>
      <x:c r="F983" s="55" t="n">
        <x:v>47.7</x:v>
      </x:c>
      <x:c r="G983" s="58" t="n">
        <x:f>E982</x:f>
        <x:v>43</x:v>
      </x:c>
      <x:c r="H983" s="58" t="n">
        <x:f>AVERAGE(E979:E982)</x:f>
        <x:v>131.5</x:v>
      </x:c>
      <x:c r="I983" s="58" t="n">
        <x:f>AVERAGE(E975:E982)</x:f>
        <x:v>97.25</x:v>
      </x:c>
      <x:c r="J983" s="58" t="n">
        <x:f>IF(G983="","",ABS(E983-G983))</x:f>
        <x:v>37</x:v>
      </x:c>
      <x:c r="K983" s="58" t="n">
        <x:f>IF(H983="","",ABS(E983-H983))</x:f>
        <x:v>125.5</x:v>
      </x:c>
      <x:c r="L983" s="58" t="n">
        <x:f>IF(I983="","",ABS(E983-I983))</x:f>
        <x:v>91.25</x:v>
      </x:c>
      <x:c r="M983" s="23" t="str">
        <x:f>IF(B983&gt;44,"Validation","Training")</x:f>
        <x:v>Training</x:v>
      </x:c>
      <x:c r="N983" s="61" t="n">
        <x:f>IF(OR(H983="",E983=0),"",K983/E983)</x:f>
        <x:v>20.916666666666668</x:v>
      </x:c>
    </x:row>
    <x:row r="984">
      <x:c r="A984" s="28" t="n">
        <x:v>40819</x:v>
      </x:c>
      <x:c r="B984" s="23" t="n">
        <x:v>44</x:v>
      </x:c>
      <x:c r="C984" s="23" t="str">
        <x:v>82484</x:v>
      </x:c>
      <x:c r="D984" s="23" t="str">
        <x:v>WOOD BLACK BOARD ANT WHITE FINISH</x:v>
      </x:c>
      <x:c r="E984" s="34" t="n">
        <x:v>66</x:v>
      </x:c>
      <x:c r="F984" s="55" t="n">
        <x:v>475.78</x:v>
      </x:c>
      <x:c r="G984" s="58" t="n">
        <x:f>E983</x:f>
        <x:v>6</x:v>
      </x:c>
      <x:c r="H984" s="58" t="n">
        <x:f>AVERAGE(E980:E983)</x:f>
        <x:v>40.5</x:v>
      </x:c>
      <x:c r="I984" s="58" t="n">
        <x:f>AVERAGE(E976:E983)</x:f>
        <x:v>85.375</x:v>
      </x:c>
      <x:c r="J984" s="58" t="n">
        <x:f>IF(G984="","",ABS(E984-G984))</x:f>
        <x:v>60</x:v>
      </x:c>
      <x:c r="K984" s="58" t="n">
        <x:f>IF(H984="","",ABS(E984-H984))</x:f>
        <x:v>25.5</x:v>
      </x:c>
      <x:c r="L984" s="58" t="n">
        <x:f>IF(I984="","",ABS(E984-I984))</x:f>
        <x:v>19.375</x:v>
      </x:c>
      <x:c r="M984" s="23" t="str">
        <x:f>IF(B984&gt;44,"Validation","Training")</x:f>
        <x:v>Training</x:v>
      </x:c>
      <x:c r="N984" s="61" t="n">
        <x:f>IF(OR(H984="",E984=0),"",K984/E984)</x:f>
        <x:v>0.38636363636363635</x:v>
      </x:c>
    </x:row>
    <x:row r="985">
      <x:c r="A985" s="28" t="n">
        <x:v>40826</x:v>
      </x:c>
      <x:c r="B985" s="23" t="n">
        <x:v>45</x:v>
      </x:c>
      <x:c r="C985" s="23" t="str">
        <x:v>82484</x:v>
      </x:c>
      <x:c r="D985" s="23" t="str">
        <x:v>WOOD BLACK BOARD ANT WHITE FINISH</x:v>
      </x:c>
      <x:c r="E985" s="34" t="n">
        <x:v>33</x:v>
      </x:c>
      <x:c r="F985" s="55" t="n">
        <x:v>288.39</x:v>
      </x:c>
      <x:c r="G985" s="58" t="n">
        <x:f>E984</x:f>
        <x:v>66</x:v>
      </x:c>
      <x:c r="H985" s="58" t="n">
        <x:f>AVERAGE(E981:E984)</x:f>
        <x:v>41.25</x:v>
      </x:c>
      <x:c r="I985" s="58" t="n">
        <x:f>AVERAGE(E977:E984)</x:f>
        <x:v>88.875</x:v>
      </x:c>
      <x:c r="J985" s="58" t="n">
        <x:f>IF(G985="","",ABS(E985-G985))</x:f>
        <x:v>33</x:v>
      </x:c>
      <x:c r="K985" s="58" t="n">
        <x:f>IF(H985="","",ABS(E985-H985))</x:f>
        <x:v>8.25</x:v>
      </x:c>
      <x:c r="L985" s="58" t="n">
        <x:f>IF(I985="","",ABS(E985-I985))</x:f>
        <x:v>55.875</x:v>
      </x:c>
      <x:c r="M985" s="23" t="str">
        <x:f>IF(B985&gt;44,"Validation","Training")</x:f>
        <x:v>Validation</x:v>
      </x:c>
      <x:c r="N985" s="61" t="n">
        <x:f>IF(OR(H985="",E985=0),"",K985/E985)</x:f>
        <x:v>0.25</x:v>
      </x:c>
    </x:row>
    <x:row r="986">
      <x:c r="A986" s="28" t="n">
        <x:v>40833</x:v>
      </x:c>
      <x:c r="B986" s="23" t="n">
        <x:v>46</x:v>
      </x:c>
      <x:c r="C986" s="23" t="str">
        <x:v>82484</x:v>
      </x:c>
      <x:c r="D986" s="23" t="str">
        <x:v>WOOD BLACK BOARD ANT WHITE FINISH</x:v>
      </x:c>
      <x:c r="E986" s="34" t="n">
        <x:v>137</x:v>
      </x:c>
      <x:c r="F986" s="55" t="n">
        <x:v>719.83</x:v>
      </x:c>
      <x:c r="G986" s="58" t="n">
        <x:f>E985</x:f>
        <x:v>33</x:v>
      </x:c>
      <x:c r="H986" s="58" t="n">
        <x:f>AVERAGE(E982:E985)</x:f>
        <x:v>37</x:v>
      </x:c>
      <x:c r="I986" s="58" t="n">
        <x:f>AVERAGE(E978:E985)</x:f>
        <x:v>84.75</x:v>
      </x:c>
      <x:c r="J986" s="58" t="n">
        <x:f>IF(G986="","",ABS(E986-G986))</x:f>
        <x:v>104</x:v>
      </x:c>
      <x:c r="K986" s="58" t="n">
        <x:f>IF(H986="","",ABS(E986-H986))</x:f>
        <x:v>100</x:v>
      </x:c>
      <x:c r="L986" s="58" t="n">
        <x:f>IF(I986="","",ABS(E986-I986))</x:f>
        <x:v>52.25</x:v>
      </x:c>
      <x:c r="M986" s="23" t="str">
        <x:f>IF(B986&gt;44,"Validation","Training")</x:f>
        <x:v>Validation</x:v>
      </x:c>
      <x:c r="N986" s="61" t="n">
        <x:f>IF(OR(H986="",E986=0),"",K986/E986)</x:f>
        <x:v>0.7299270072992701</x:v>
      </x:c>
    </x:row>
    <x:row r="987">
      <x:c r="A987" s="28" t="n">
        <x:v>40840</x:v>
      </x:c>
      <x:c r="B987" s="23" t="n">
        <x:v>47</x:v>
      </x:c>
      <x:c r="C987" s="23" t="str">
        <x:v>82484</x:v>
      </x:c>
      <x:c r="D987" s="23" t="str">
        <x:v>WOOD BLACK BOARD ANT WHITE FINISH</x:v>
      </x:c>
      <x:c r="E987" s="34" t="n">
        <x:v>42</x:v>
      </x:c>
      <x:c r="F987" s="55" t="n">
        <x:v>336.86</x:v>
      </x:c>
      <x:c r="G987" s="58" t="n">
        <x:f>E986</x:f>
        <x:v>137</x:v>
      </x:c>
      <x:c r="H987" s="58" t="n">
        <x:f>AVERAGE(E983:E986)</x:f>
        <x:v>60.5</x:v>
      </x:c>
      <x:c r="I987" s="58" t="n">
        <x:f>AVERAGE(E979:E986)</x:f>
        <x:v>96</x:v>
      </x:c>
      <x:c r="J987" s="58" t="n">
        <x:f>IF(G987="","",ABS(E987-G987))</x:f>
        <x:v>95</x:v>
      </x:c>
      <x:c r="K987" s="58" t="n">
        <x:f>IF(H987="","",ABS(E987-H987))</x:f>
        <x:v>18.5</x:v>
      </x:c>
      <x:c r="L987" s="58" t="n">
        <x:f>IF(I987="","",ABS(E987-I987))</x:f>
        <x:v>54</x:v>
      </x:c>
      <x:c r="M987" s="23" t="str">
        <x:f>IF(B987&gt;44,"Validation","Training")</x:f>
        <x:v>Validation</x:v>
      </x:c>
      <x:c r="N987" s="61" t="n">
        <x:f>IF(OR(H987="",E987=0),"",K987/E987)</x:f>
        <x:v>0.44047619047619047</x:v>
      </x:c>
    </x:row>
    <x:row r="988">
      <x:c r="A988" s="28" t="n">
        <x:v>40847</x:v>
      </x:c>
      <x:c r="B988" s="23" t="n">
        <x:v>48</x:v>
      </x:c>
      <x:c r="C988" s="23" t="str">
        <x:v>82484</x:v>
      </x:c>
      <x:c r="D988" s="23" t="str">
        <x:v>WOOD BLACK BOARD ANT WHITE FINISH</x:v>
      </x:c>
      <x:c r="E988" s="34" t="n">
        <x:v>166</x:v>
      </x:c>
      <x:c r="F988" s="55" t="n">
        <x:v>955.91</x:v>
      </x:c>
      <x:c r="G988" s="58" t="n">
        <x:f>E987</x:f>
        <x:v>42</x:v>
      </x:c>
      <x:c r="H988" s="58" t="n">
        <x:f>AVERAGE(E984:E987)</x:f>
        <x:v>69.5</x:v>
      </x:c>
      <x:c r="I988" s="58" t="n">
        <x:f>AVERAGE(E980:E987)</x:f>
        <x:v>55</x:v>
      </x:c>
      <x:c r="J988" s="58" t="n">
        <x:f>IF(G988="","",ABS(E988-G988))</x:f>
        <x:v>124</x:v>
      </x:c>
      <x:c r="K988" s="58" t="n">
        <x:f>IF(H988="","",ABS(E988-H988))</x:f>
        <x:v>96.5</x:v>
      </x:c>
      <x:c r="L988" s="58" t="n">
        <x:f>IF(I988="","",ABS(E988-I988))</x:f>
        <x:v>111</x:v>
      </x:c>
      <x:c r="M988" s="23" t="str">
        <x:f>IF(B988&gt;44,"Validation","Training")</x:f>
        <x:v>Validation</x:v>
      </x:c>
      <x:c r="N988" s="61" t="n">
        <x:f>IF(OR(H988="",E988=0),"",K988/E988)</x:f>
        <x:v>0.5813253012048193</x:v>
      </x:c>
    </x:row>
    <x:row r="989">
      <x:c r="A989" s="28" t="n">
        <x:v>40854</x:v>
      </x:c>
      <x:c r="B989" s="23" t="n">
        <x:v>49</x:v>
      </x:c>
      <x:c r="C989" s="23" t="str">
        <x:v>82484</x:v>
      </x:c>
      <x:c r="D989" s="23" t="str">
        <x:v>WOOD BLACK BOARD ANT WHITE FINISH</x:v>
      </x:c>
      <x:c r="E989" s="34" t="n">
        <x:v>41</x:v>
      </x:c>
      <x:c r="F989" s="55" t="n">
        <x:v>314.51</x:v>
      </x:c>
      <x:c r="G989" s="58" t="n">
        <x:f>E988</x:f>
        <x:v>166</x:v>
      </x:c>
      <x:c r="H989" s="58" t="n">
        <x:f>AVERAGE(E985:E988)</x:f>
        <x:v>94.5</x:v>
      </x:c>
      <x:c r="I989" s="58" t="n">
        <x:f>AVERAGE(E981:E988)</x:f>
        <x:v>67.875</x:v>
      </x:c>
      <x:c r="J989" s="58" t="n">
        <x:f>IF(G989="","",ABS(E989-G989))</x:f>
        <x:v>125</x:v>
      </x:c>
      <x:c r="K989" s="58" t="n">
        <x:f>IF(H989="","",ABS(E989-H989))</x:f>
        <x:v>53.5</x:v>
      </x:c>
      <x:c r="L989" s="58" t="n">
        <x:f>IF(I989="","",ABS(E989-I989))</x:f>
        <x:v>26.875</x:v>
      </x:c>
      <x:c r="M989" s="23" t="str">
        <x:f>IF(B989&gt;44,"Validation","Training")</x:f>
        <x:v>Validation</x:v>
      </x:c>
      <x:c r="N989" s="61" t="n">
        <x:f>IF(OR(H989="",E989=0),"",K989/E989)</x:f>
        <x:v>1.3048780487804879</x:v>
      </x:c>
    </x:row>
    <x:row r="990">
      <x:c r="A990" s="28" t="n">
        <x:v>40861</x:v>
      </x:c>
      <x:c r="B990" s="23" t="n">
        <x:v>50</x:v>
      </x:c>
      <x:c r="C990" s="23" t="str">
        <x:v>82484</x:v>
      </x:c>
      <x:c r="D990" s="23" t="str">
        <x:v>WOOD BLACK BOARD ANT WHITE FINISH</x:v>
      </x:c>
      <x:c r="E990" s="34" t="n">
        <x:v>50</x:v>
      </x:c>
      <x:c r="F990" s="55" t="n">
        <x:v>400.46</x:v>
      </x:c>
      <x:c r="G990" s="58" t="n">
        <x:f>E989</x:f>
        <x:v>41</x:v>
      </x:c>
      <x:c r="H990" s="58" t="n">
        <x:f>AVERAGE(E986:E989)</x:f>
        <x:v>96.5</x:v>
      </x:c>
      <x:c r="I990" s="58" t="n">
        <x:f>AVERAGE(E982:E989)</x:f>
        <x:v>66.75</x:v>
      </x:c>
      <x:c r="J990" s="58" t="n">
        <x:f>IF(G990="","",ABS(E990-G990))</x:f>
        <x:v>9</x:v>
      </x:c>
      <x:c r="K990" s="58" t="n">
        <x:f>IF(H990="","",ABS(E990-H990))</x:f>
        <x:v>46.5</x:v>
      </x:c>
      <x:c r="L990" s="58" t="n">
        <x:f>IF(I990="","",ABS(E990-I990))</x:f>
        <x:v>16.75</x:v>
      </x:c>
      <x:c r="M990" s="23" t="str">
        <x:f>IF(B990&gt;44,"Validation","Training")</x:f>
        <x:v>Validation</x:v>
      </x:c>
      <x:c r="N990" s="61" t="n">
        <x:f>IF(OR(H990="",E990=0),"",K990/E990)</x:f>
        <x:v>0.93</x:v>
      </x:c>
    </x:row>
    <x:row r="991">
      <x:c r="A991" s="28" t="n">
        <x:v>40868</x:v>
      </x:c>
      <x:c r="B991" s="23" t="n">
        <x:v>51</x:v>
      </x:c>
      <x:c r="C991" s="23" t="str">
        <x:v>82484</x:v>
      </x:c>
      <x:c r="D991" s="23" t="str">
        <x:v>WOOD BLACK BOARD ANT WHITE FINISH</x:v>
      </x:c>
      <x:c r="E991" s="34" t="n">
        <x:v>83</x:v>
      </x:c>
      <x:c r="F991" s="55" t="n">
        <x:v>634.01</x:v>
      </x:c>
      <x:c r="G991" s="58" t="n">
        <x:f>E990</x:f>
        <x:v>50</x:v>
      </x:c>
      <x:c r="H991" s="58" t="n">
        <x:f>AVERAGE(E987:E990)</x:f>
        <x:v>74.75</x:v>
      </x:c>
      <x:c r="I991" s="58" t="n">
        <x:f>AVERAGE(E983:E990)</x:f>
        <x:v>67.625</x:v>
      </x:c>
      <x:c r="J991" s="58" t="n">
        <x:f>IF(G991="","",ABS(E991-G991))</x:f>
        <x:v>33</x:v>
      </x:c>
      <x:c r="K991" s="58" t="n">
        <x:f>IF(H991="","",ABS(E991-H991))</x:f>
        <x:v>8.25</x:v>
      </x:c>
      <x:c r="L991" s="58" t="n">
        <x:f>IF(I991="","",ABS(E991-I991))</x:f>
        <x:v>15.375</x:v>
      </x:c>
      <x:c r="M991" s="23" t="str">
        <x:f>IF(B991&gt;44,"Validation","Training")</x:f>
        <x:v>Validation</x:v>
      </x:c>
      <x:c r="N991" s="61" t="n">
        <x:f>IF(OR(H991="",E991=0),"",K991/E991)</x:f>
        <x:v>0.09939759036144578</x:v>
      </x:c>
    </x:row>
    <x:row r="992">
      <x:c r="A992" s="28" t="n">
        <x:v>40875</x:v>
      </x:c>
      <x:c r="B992" s="23" t="n">
        <x:v>52</x:v>
      </x:c>
      <x:c r="C992" s="23" t="str">
        <x:v>82484</x:v>
      </x:c>
      <x:c r="D992" s="23" t="str">
        <x:v>WOOD BLACK BOARD ANT WHITE FINISH</x:v>
      </x:c>
      <x:c r="E992" s="34" t="n">
        <x:v>104</x:v>
      </x:c>
      <x:c r="F992" s="55" t="n">
        <x:v>772.16</x:v>
      </x:c>
      <x:c r="G992" s="58" t="n">
        <x:f>E991</x:f>
        <x:v>83</x:v>
      </x:c>
      <x:c r="H992" s="58" t="n">
        <x:f>AVERAGE(E988:E991)</x:f>
        <x:v>85</x:v>
      </x:c>
      <x:c r="I992" s="58" t="n">
        <x:f>AVERAGE(E984:E991)</x:f>
        <x:v>77.25</x:v>
      </x:c>
      <x:c r="J992" s="58" t="n">
        <x:f>IF(G992="","",ABS(E992-G992))</x:f>
        <x:v>21</x:v>
      </x:c>
      <x:c r="K992" s="58" t="n">
        <x:f>IF(H992="","",ABS(E992-H992))</x:f>
        <x:v>19</x:v>
      </x:c>
      <x:c r="L992" s="58" t="n">
        <x:f>IF(I992="","",ABS(E992-I992))</x:f>
        <x:v>26.75</x:v>
      </x:c>
      <x:c r="M992" s="23" t="str">
        <x:f>IF(B992&gt;44,"Validation","Training")</x:f>
        <x:v>Validation</x:v>
      </x:c>
      <x:c r="N992" s="61" t="n">
        <x:f>IF(OR(H992="",E992=0),"",K992/E992)</x:f>
        <x:v>0.18269230769230768</x:v>
      </x:c>
    </x:row>
    <x:row r="993">
      <x:c r="A993" s="28" t="n">
        <x:v>40518</x:v>
      </x:c>
      <x:c r="B993" s="23" t="n">
        <x:v>1</x:v>
      </x:c>
      <x:c r="C993" s="23" t="str">
        <x:v>21137</x:v>
      </x:c>
      <x:c r="D993" s="23" t="str">
        <x:v>BLACK RECORD COVER FRAME</x:v>
      </x:c>
      <x:c r="E993" s="34" t="n">
        <x:v>577</x:v>
      </x:c>
      <x:c r="F993" s="55" t="n">
        <x:v>1980.51</x:v>
      </x:c>
      <x:c r="G993" s="58" t="str">
        <x:f>""</x:f>
      </x:c>
      <x:c r="H993" s="58" t="str">
        <x:f>""</x:f>
      </x:c>
      <x:c r="I993" s="58" t="str">
        <x:f>""</x:f>
      </x:c>
      <x:c r="J993" s="58" t="str">
        <x:f>IF(G993="","",ABS(E993-G993))</x:f>
      </x:c>
      <x:c r="K993" s="58" t="str">
        <x:f>IF(H993="","",ABS(E993-H993))</x:f>
      </x:c>
      <x:c r="L993" s="58" t="str">
        <x:f>IF(I993="","",ABS(E993-I993))</x:f>
      </x:c>
      <x:c r="M993" s="23" t="str">
        <x:f>IF(B993&gt;44,"Validation","Training")</x:f>
        <x:v>Training</x:v>
      </x:c>
      <x:c r="N993" s="61" t="str">
        <x:f>IF(OR(H993="",E993=0),"",K993/E993)</x:f>
      </x:c>
    </x:row>
    <x:row r="994">
      <x:c r="A994" s="28" t="n">
        <x:v>40525</x:v>
      </x:c>
      <x:c r="B994" s="23" t="n">
        <x:v>2</x:v>
      </x:c>
      <x:c r="C994" s="23" t="str">
        <x:v>21137</x:v>
      </x:c>
      <x:c r="D994" s="23" t="str">
        <x:v>BLACK RECORD COVER FRAME</x:v>
      </x:c>
      <x:c r="E994" s="34" t="n">
        <x:v>575</x:v>
      </x:c>
      <x:c r="F994" s="55" t="n">
        <x:v>1961.4</x:v>
      </x:c>
      <x:c r="G994" s="58" t="n">
        <x:f>E993</x:f>
        <x:v>577</x:v>
      </x:c>
      <x:c r="H994" s="58" t="str">
        <x:f>""</x:f>
      </x:c>
      <x:c r="I994" s="58" t="str">
        <x:f>""</x:f>
      </x:c>
      <x:c r="J994" s="58" t="n">
        <x:f>IF(G994="","",ABS(E994-G994))</x:f>
        <x:v>2</x:v>
      </x:c>
      <x:c r="K994" s="58" t="str">
        <x:f>IF(H994="","",ABS(E994-H994))</x:f>
      </x:c>
      <x:c r="L994" s="58" t="str">
        <x:f>IF(I994="","",ABS(E994-I994))</x:f>
      </x:c>
      <x:c r="M994" s="23" t="str">
        <x:f>IF(B994&gt;44,"Validation","Training")</x:f>
        <x:v>Training</x:v>
      </x:c>
      <x:c r="N994" s="61" t="str">
        <x:f>IF(OR(H994="",E994=0),"",K994/E994)</x:f>
      </x:c>
    </x:row>
    <x:row r="995">
      <x:c r="A995" s="28" t="n">
        <x:v>40532</x:v>
      </x:c>
      <x:c r="B995" s="23" t="n">
        <x:v>3</x:v>
      </x:c>
      <x:c r="C995" s="23" t="str">
        <x:v>21137</x:v>
      </x:c>
      <x:c r="D995" s="23" t="str">
        <x:v>BLACK RECORD COVER FRAME</x:v>
      </x:c>
      <x:c r="E995" s="34" t="n">
        <x:v>55</x:v>
      </x:c>
      <x:c r="F995" s="55" t="n">
        <x:v>192.84</x:v>
      </x:c>
      <x:c r="G995" s="58" t="n">
        <x:f>E994</x:f>
        <x:v>575</x:v>
      </x:c>
      <x:c r="H995" s="58" t="str">
        <x:f>""</x:f>
      </x:c>
      <x:c r="I995" s="58" t="str">
        <x:f>""</x:f>
      </x:c>
      <x:c r="J995" s="58" t="n">
        <x:f>IF(G995="","",ABS(E995-G995))</x:f>
        <x:v>520</x:v>
      </x:c>
      <x:c r="K995" s="58" t="str">
        <x:f>IF(H995="","",ABS(E995-H995))</x:f>
      </x:c>
      <x:c r="L995" s="58" t="str">
        <x:f>IF(I995="","",ABS(E995-I995))</x:f>
      </x:c>
      <x:c r="M995" s="23" t="str">
        <x:f>IF(B995&gt;44,"Validation","Training")</x:f>
        <x:v>Training</x:v>
      </x:c>
      <x:c r="N995" s="61" t="str">
        <x:f>IF(OR(H995="",E995=0),"",K995/E995)</x:f>
      </x:c>
    </x:row>
    <x:row r="996">
      <x:c r="A996" s="28" t="n">
        <x:v>40539</x:v>
      </x:c>
      <x:c r="B996" s="23" t="n">
        <x:v>4</x:v>
      </x:c>
      <x:c r="C996" s="23" t="str">
        <x:v>21137</x:v>
      </x:c>
      <x:c r="D996" s="23" t="str">
        <x:v>BLACK RECORD COVER FRAME</x:v>
      </x:c>
      <x:c r="E996" s="34" t="n">
        <x:v>0</x:v>
      </x:c>
      <x:c r="F996" s="55" t="n">
        <x:v>0</x:v>
      </x:c>
      <x:c r="G996" s="58" t="n">
        <x:f>E995</x:f>
        <x:v>55</x:v>
      </x:c>
      <x:c r="H996" s="58" t="str">
        <x:f>""</x:f>
      </x:c>
      <x:c r="I996" s="58" t="str">
        <x:f>""</x:f>
      </x:c>
      <x:c r="J996" s="58" t="n">
        <x:f>IF(G996="","",ABS(E996-G996))</x:f>
        <x:v>55</x:v>
      </x:c>
      <x:c r="K996" s="58" t="str">
        <x:f>IF(H996="","",ABS(E996-H996))</x:f>
      </x:c>
      <x:c r="L996" s="58" t="str">
        <x:f>IF(I996="","",ABS(E996-I996))</x:f>
      </x:c>
      <x:c r="M996" s="23" t="str">
        <x:f>IF(B996&gt;44,"Validation","Training")</x:f>
        <x:v>Training</x:v>
      </x:c>
      <x:c r="N996" s="61" t="str">
        <x:f>IF(OR(H996="",E996=0),"",K996/E996)</x:f>
      </x:c>
    </x:row>
    <x:row r="997">
      <x:c r="A997" s="28" t="n">
        <x:v>40546</x:v>
      </x:c>
      <x:c r="B997" s="23" t="n">
        <x:v>5</x:v>
      </x:c>
      <x:c r="C997" s="23" t="str">
        <x:v>21137</x:v>
      </x:c>
      <x:c r="D997" s="23" t="str">
        <x:v>BLACK RECORD COVER FRAME</x:v>
      </x:c>
      <x:c r="E997" s="34" t="n">
        <x:v>177</x:v>
      </x:c>
      <x:c r="F997" s="55" t="n">
        <x:v>603.27</x:v>
      </x:c>
      <x:c r="G997" s="58" t="n">
        <x:f>E996</x:f>
        <x:v>0</x:v>
      </x:c>
      <x:c r="H997" s="58" t="n">
        <x:f>AVERAGE(E993:E996)</x:f>
        <x:v>301.75</x:v>
      </x:c>
      <x:c r="I997" s="58" t="str">
        <x:f>""</x:f>
      </x:c>
      <x:c r="J997" s="58" t="str">
        <x:f>IF(G997="","",ABS(E997-G997))</x:f>
      </x:c>
      <x:c r="K997" s="58" t="n">
        <x:f>IF(H997="","",ABS(E997-H997))</x:f>
        <x:v>124.75</x:v>
      </x:c>
      <x:c r="L997" s="58" t="str">
        <x:f>IF(I997="","",ABS(E997-I997))</x:f>
      </x:c>
      <x:c r="M997" s="23" t="str">
        <x:f>IF(B997&gt;44,"Validation","Training")</x:f>
        <x:v>Training</x:v>
      </x:c>
      <x:c r="N997" s="61" t="n">
        <x:f>IF(OR(H997="",E997=0),"",K997/E997)</x:f>
        <x:v>0.7048022598870056</x:v>
      </x:c>
    </x:row>
    <x:row r="998">
      <x:c r="A998" s="28" t="n">
        <x:v>40553</x:v>
      </x:c>
      <x:c r="B998" s="23" t="n">
        <x:v>6</x:v>
      </x:c>
      <x:c r="C998" s="23" t="str">
        <x:v>21137</x:v>
      </x:c>
      <x:c r="D998" s="23" t="str">
        <x:v>BLACK RECORD COVER FRAME</x:v>
      </x:c>
      <x:c r="E998" s="34" t="n">
        <x:v>20</x:v>
      </x:c>
      <x:c r="F998" s="55" t="n">
        <x:v>75</x:v>
      </x:c>
      <x:c r="G998" s="58" t="n">
        <x:f>E997</x:f>
        <x:v>177</x:v>
      </x:c>
      <x:c r="H998" s="58" t="n">
        <x:f>AVERAGE(E994:E997)</x:f>
        <x:v>201.75</x:v>
      </x:c>
      <x:c r="I998" s="58" t="str">
        <x:f>""</x:f>
      </x:c>
      <x:c r="J998" s="58" t="n">
        <x:f>IF(G998="","",ABS(E998-G998))</x:f>
        <x:v>157</x:v>
      </x:c>
      <x:c r="K998" s="58" t="n">
        <x:f>IF(H998="","",ABS(E998-H998))</x:f>
        <x:v>181.75</x:v>
      </x:c>
      <x:c r="L998" s="58" t="str">
        <x:f>IF(I998="","",ABS(E998-I998))</x:f>
      </x:c>
      <x:c r="M998" s="23" t="str">
        <x:f>IF(B998&gt;44,"Validation","Training")</x:f>
        <x:v>Training</x:v>
      </x:c>
      <x:c r="N998" s="61" t="n">
        <x:f>IF(OR(H998="",E998=0),"",K998/E998)</x:f>
        <x:v>9.0875</x:v>
      </x:c>
    </x:row>
    <x:row r="999">
      <x:c r="A999" s="28" t="n">
        <x:v>40560</x:v>
      </x:c>
      <x:c r="B999" s="23" t="n">
        <x:v>7</x:v>
      </x:c>
      <x:c r="C999" s="23" t="str">
        <x:v>21137</x:v>
      </x:c>
      <x:c r="D999" s="23" t="str">
        <x:v>BLACK RECORD COVER FRAME</x:v>
      </x:c>
      <x:c r="E999" s="34" t="n">
        <x:v>24</x:v>
      </x:c>
      <x:c r="F999" s="55" t="n">
        <x:v>104.84</x:v>
      </x:c>
      <x:c r="G999" s="58" t="n">
        <x:f>E998</x:f>
        <x:v>20</x:v>
      </x:c>
      <x:c r="H999" s="58" t="n">
        <x:f>AVERAGE(E995:E998)</x:f>
        <x:v>63</x:v>
      </x:c>
      <x:c r="I999" s="58" t="str">
        <x:f>""</x:f>
      </x:c>
      <x:c r="J999" s="58" t="n">
        <x:f>IF(G999="","",ABS(E999-G999))</x:f>
        <x:v>4</x:v>
      </x:c>
      <x:c r="K999" s="58" t="n">
        <x:f>IF(H999="","",ABS(E999-H999))</x:f>
        <x:v>39</x:v>
      </x:c>
      <x:c r="L999" s="58" t="str">
        <x:f>IF(I999="","",ABS(E999-I999))</x:f>
      </x:c>
      <x:c r="M999" s="23" t="str">
        <x:f>IF(B999&gt;44,"Validation","Training")</x:f>
        <x:v>Training</x:v>
      </x:c>
      <x:c r="N999" s="61" t="n">
        <x:f>IF(OR(H999="",E999=0),"",K999/E999)</x:f>
        <x:v>1.625</x:v>
      </x:c>
    </x:row>
    <x:row r="1000">
      <x:c r="A1000" s="28" t="n">
        <x:v>40567</x:v>
      </x:c>
      <x:c r="B1000" s="23" t="n">
        <x:v>8</x:v>
      </x:c>
      <x:c r="C1000" s="23" t="str">
        <x:v>21137</x:v>
      </x:c>
      <x:c r="D1000" s="23" t="str">
        <x:v>BLACK RECORD COVER FRAME</x:v>
      </x:c>
      <x:c r="E1000" s="34" t="n">
        <x:v>3</x:v>
      </x:c>
      <x:c r="F1000" s="55" t="n">
        <x:v>11.25</x:v>
      </x:c>
      <x:c r="G1000" s="58" t="n">
        <x:f>E999</x:f>
        <x:v>24</x:v>
      </x:c>
      <x:c r="H1000" s="58" t="n">
        <x:f>AVERAGE(E996:E999)</x:f>
        <x:v>55.25</x:v>
      </x:c>
      <x:c r="I1000" s="58" t="str">
        <x:f>""</x:f>
      </x:c>
      <x:c r="J1000" s="58" t="n">
        <x:f>IF(G1000="","",ABS(E1000-G1000))</x:f>
        <x:v>21</x:v>
      </x:c>
      <x:c r="K1000" s="58" t="n">
        <x:f>IF(H1000="","",ABS(E1000-H1000))</x:f>
        <x:v>52.25</x:v>
      </x:c>
      <x:c r="L1000" s="58" t="str">
        <x:f>IF(I1000="","",ABS(E1000-I1000))</x:f>
      </x:c>
      <x:c r="M1000" s="23" t="str">
        <x:f>IF(B1000&gt;44,"Validation","Training")</x:f>
        <x:v>Training</x:v>
      </x:c>
      <x:c r="N1000" s="61" t="n">
        <x:f>IF(OR(H1000="",E1000=0),"",K1000/E1000)</x:f>
        <x:v>17.416666666666668</x:v>
      </x:c>
    </x:row>
    <x:row r="1001">
      <x:c r="A1001" s="28" t="n">
        <x:v>40574</x:v>
      </x:c>
      <x:c r="B1001" s="23" t="n">
        <x:v>9</x:v>
      </x:c>
      <x:c r="C1001" s="23" t="str">
        <x:v>21137</x:v>
      </x:c>
      <x:c r="D1001" s="23" t="str">
        <x:v>BLACK RECORD COVER FRAME</x:v>
      </x:c>
      <x:c r="E1001" s="34" t="n">
        <x:v>592</x:v>
      </x:c>
      <x:c r="F1001" s="55" t="n">
        <x:v>2012.64</x:v>
      </x:c>
      <x:c r="G1001" s="58" t="n">
        <x:f>E1000</x:f>
        <x:v>3</x:v>
      </x:c>
      <x:c r="H1001" s="58" t="n">
        <x:f>AVERAGE(E997:E1000)</x:f>
        <x:v>56</x:v>
      </x:c>
      <x:c r="I1001" s="58" t="n">
        <x:f>AVERAGE(E993:E1000)</x:f>
        <x:v>178.875</x:v>
      </x:c>
      <x:c r="J1001" s="58" t="n">
        <x:f>IF(G1001="","",ABS(E1001-G1001))</x:f>
        <x:v>589</x:v>
      </x:c>
      <x:c r="K1001" s="58" t="n">
        <x:f>IF(H1001="","",ABS(E1001-H1001))</x:f>
        <x:v>536</x:v>
      </x:c>
      <x:c r="L1001" s="58" t="n">
        <x:f>IF(I1001="","",ABS(E1001-I1001))</x:f>
        <x:v>413.125</x:v>
      </x:c>
      <x:c r="M1001" s="23" t="str">
        <x:f>IF(B1001&gt;44,"Validation","Training")</x:f>
        <x:v>Training</x:v>
      </x:c>
      <x:c r="N1001" s="61" t="n">
        <x:f>IF(OR(H1001="",E1001=0),"",K1001/E1001)</x:f>
        <x:v>0.9054054054054054</x:v>
      </x:c>
    </x:row>
    <x:row r="1002">
      <x:c r="A1002" s="28" t="n">
        <x:v>40581</x:v>
      </x:c>
      <x:c r="B1002" s="23" t="n">
        <x:v>10</x:v>
      </x:c>
      <x:c r="C1002" s="23" t="str">
        <x:v>21137</x:v>
      </x:c>
      <x:c r="D1002" s="23" t="str">
        <x:v>BLACK RECORD COVER FRAME</x:v>
      </x:c>
      <x:c r="E1002" s="34" t="n">
        <x:v>0</x:v>
      </x:c>
      <x:c r="F1002" s="55" t="n">
        <x:v>0</x:v>
      </x:c>
      <x:c r="G1002" s="58" t="n">
        <x:f>E1001</x:f>
        <x:v>592</x:v>
      </x:c>
      <x:c r="H1002" s="58" t="n">
        <x:f>AVERAGE(E998:E1001)</x:f>
        <x:v>159.75</x:v>
      </x:c>
      <x:c r="I1002" s="58" t="n">
        <x:f>AVERAGE(E994:E1001)</x:f>
        <x:v>180.75</x:v>
      </x:c>
      <x:c r="J1002" s="58" t="n">
        <x:f>IF(G1002="","",ABS(E1002-G1002))</x:f>
        <x:v>592</x:v>
      </x:c>
      <x:c r="K1002" s="58" t="n">
        <x:f>IF(H1002="","",ABS(E1002-H1002))</x:f>
        <x:v>159.75</x:v>
      </x:c>
      <x:c r="L1002" s="58" t="n">
        <x:f>IF(I1002="","",ABS(E1002-I1002))</x:f>
        <x:v>180.75</x:v>
      </x:c>
      <x:c r="M1002" s="23" t="str">
        <x:f>IF(B1002&gt;44,"Validation","Training")</x:f>
        <x:v>Training</x:v>
      </x:c>
      <x:c r="N1002" s="61" t="str">
        <x:f>IF(OR(H1002="",E1002=0),"",K1002/E1002)</x:f>
      </x:c>
    </x:row>
    <x:row r="1003">
      <x:c r="A1003" s="28" t="n">
        <x:v>40588</x:v>
      </x:c>
      <x:c r="B1003" s="23" t="n">
        <x:v>11</x:v>
      </x:c>
      <x:c r="C1003" s="23" t="str">
        <x:v>21137</x:v>
      </x:c>
      <x:c r="D1003" s="23" t="str">
        <x:v>BLACK RECORD COVER FRAME</x:v>
      </x:c>
      <x:c r="E1003" s="34" t="n">
        <x:v>40</x:v>
      </x:c>
      <x:c r="F1003" s="55" t="n">
        <x:v>141.36</x:v>
      </x:c>
      <x:c r="G1003" s="58" t="n">
        <x:f>E1002</x:f>
        <x:v>0</x:v>
      </x:c>
      <x:c r="H1003" s="58" t="n">
        <x:f>AVERAGE(E999:E1002)</x:f>
        <x:v>154.75</x:v>
      </x:c>
      <x:c r="I1003" s="58" t="n">
        <x:f>AVERAGE(E995:E1002)</x:f>
        <x:v>108.875</x:v>
      </x:c>
      <x:c r="J1003" s="58" t="str">
        <x:f>IF(G1003="","",ABS(E1003-G1003))</x:f>
      </x:c>
      <x:c r="K1003" s="58" t="n">
        <x:f>IF(H1003="","",ABS(E1003-H1003))</x:f>
        <x:v>114.75</x:v>
      </x:c>
      <x:c r="L1003" s="58" t="n">
        <x:f>IF(I1003="","",ABS(E1003-I1003))</x:f>
        <x:v>68.875</x:v>
      </x:c>
      <x:c r="M1003" s="23" t="str">
        <x:f>IF(B1003&gt;44,"Validation","Training")</x:f>
        <x:v>Training</x:v>
      </x:c>
      <x:c r="N1003" s="61" t="n">
        <x:f>IF(OR(H1003="",E1003=0),"",K1003/E1003)</x:f>
        <x:v>2.86875</x:v>
      </x:c>
    </x:row>
    <x:row r="1004">
      <x:c r="A1004" s="28" t="n">
        <x:v>40595</x:v>
      </x:c>
      <x:c r="B1004" s="23" t="n">
        <x:v>12</x:v>
      </x:c>
      <x:c r="C1004" s="23" t="str">
        <x:v>21137</x:v>
      </x:c>
      <x:c r="D1004" s="23" t="str">
        <x:v>BLACK RECORD COVER FRAME</x:v>
      </x:c>
      <x:c r="E1004" s="34" t="n">
        <x:v>69</x:v>
      </x:c>
      <x:c r="F1004" s="55" t="n">
        <x:v>245.18</x:v>
      </x:c>
      <x:c r="G1004" s="58" t="n">
        <x:f>E1003</x:f>
        <x:v>40</x:v>
      </x:c>
      <x:c r="H1004" s="58" t="n">
        <x:f>AVERAGE(E1000:E1003)</x:f>
        <x:v>158.75</x:v>
      </x:c>
      <x:c r="I1004" s="58" t="n">
        <x:f>AVERAGE(E996:E1003)</x:f>
        <x:v>107</x:v>
      </x:c>
      <x:c r="J1004" s="58" t="n">
        <x:f>IF(G1004="","",ABS(E1004-G1004))</x:f>
        <x:v>29</x:v>
      </x:c>
      <x:c r="K1004" s="58" t="n">
        <x:f>IF(H1004="","",ABS(E1004-H1004))</x:f>
        <x:v>89.75</x:v>
      </x:c>
      <x:c r="L1004" s="58" t="n">
        <x:f>IF(I1004="","",ABS(E1004-I1004))</x:f>
        <x:v>38</x:v>
      </x:c>
      <x:c r="M1004" s="23" t="str">
        <x:f>IF(B1004&gt;44,"Validation","Training")</x:f>
        <x:v>Training</x:v>
      </x:c>
      <x:c r="N1004" s="61" t="n">
        <x:f>IF(OR(H1004="",E1004=0),"",K1004/E1004)</x:f>
        <x:v>1.3007246376811594</x:v>
      </x:c>
    </x:row>
    <x:row r="1005">
      <x:c r="A1005" s="28" t="n">
        <x:v>40602</x:v>
      </x:c>
      <x:c r="B1005" s="23" t="n">
        <x:v>13</x:v>
      </x:c>
      <x:c r="C1005" s="23" t="str">
        <x:v>21137</x:v>
      </x:c>
      <x:c r="D1005" s="23" t="str">
        <x:v>BLACK RECORD COVER FRAME</x:v>
      </x:c>
      <x:c r="E1005" s="34" t="n">
        <x:v>0</x:v>
      </x:c>
      <x:c r="F1005" s="55" t="n">
        <x:v>0</x:v>
      </x:c>
      <x:c r="G1005" s="58" t="n">
        <x:f>E1004</x:f>
        <x:v>69</x:v>
      </x:c>
      <x:c r="H1005" s="58" t="n">
        <x:f>AVERAGE(E1001:E1004)</x:f>
        <x:v>175.25</x:v>
      </x:c>
      <x:c r="I1005" s="58" t="n">
        <x:f>AVERAGE(E997:E1004)</x:f>
        <x:v>115.625</x:v>
      </x:c>
      <x:c r="J1005" s="58" t="n">
        <x:f>IF(G1005="","",ABS(E1005-G1005))</x:f>
        <x:v>69</x:v>
      </x:c>
      <x:c r="K1005" s="58" t="n">
        <x:f>IF(H1005="","",ABS(E1005-H1005))</x:f>
        <x:v>175.25</x:v>
      </x:c>
      <x:c r="L1005" s="58" t="n">
        <x:f>IF(I1005="","",ABS(E1005-I1005))</x:f>
        <x:v>115.625</x:v>
      </x:c>
      <x:c r="M1005" s="23" t="str">
        <x:f>IF(B1005&gt;44,"Validation","Training")</x:f>
        <x:v>Training</x:v>
      </x:c>
      <x:c r="N1005" s="61" t="str">
        <x:f>IF(OR(H1005="",E1005=0),"",K1005/E1005)</x:f>
      </x:c>
    </x:row>
    <x:row r="1006">
      <x:c r="A1006" s="28" t="n">
        <x:v>40609</x:v>
      </x:c>
      <x:c r="B1006" s="23" t="n">
        <x:v>14</x:v>
      </x:c>
      <x:c r="C1006" s="23" t="str">
        <x:v>21137</x:v>
      </x:c>
      <x:c r="D1006" s="23" t="str">
        <x:v>BLACK RECORD COVER FRAME</x:v>
      </x:c>
      <x:c r="E1006" s="34" t="n">
        <x:v>6</x:v>
      </x:c>
      <x:c r="F1006" s="55" t="n">
        <x:v>22.5</x:v>
      </x:c>
      <x:c r="G1006" s="58" t="n">
        <x:f>E1005</x:f>
        <x:v>0</x:v>
      </x:c>
      <x:c r="H1006" s="58" t="n">
        <x:f>AVERAGE(E1002:E1005)</x:f>
        <x:v>27.25</x:v>
      </x:c>
      <x:c r="I1006" s="58" t="n">
        <x:f>AVERAGE(E998:E1005)</x:f>
        <x:v>93.5</x:v>
      </x:c>
      <x:c r="J1006" s="58" t="str">
        <x:f>IF(G1006="","",ABS(E1006-G1006))</x:f>
      </x:c>
      <x:c r="K1006" s="58" t="n">
        <x:f>IF(H1006="","",ABS(E1006-H1006))</x:f>
        <x:v>21.25</x:v>
      </x:c>
      <x:c r="L1006" s="58" t="n">
        <x:f>IF(I1006="","",ABS(E1006-I1006))</x:f>
        <x:v>87.5</x:v>
      </x:c>
      <x:c r="M1006" s="23" t="str">
        <x:f>IF(B1006&gt;44,"Validation","Training")</x:f>
        <x:v>Training</x:v>
      </x:c>
      <x:c r="N1006" s="61" t="n">
        <x:f>IF(OR(H1006="",E1006=0),"",K1006/E1006)</x:f>
        <x:v>3.5416666666666665</x:v>
      </x:c>
    </x:row>
    <x:row r="1007">
      <x:c r="A1007" s="28" t="n">
        <x:v>40616</x:v>
      </x:c>
      <x:c r="B1007" s="23" t="n">
        <x:v>15</x:v>
      </x:c>
      <x:c r="C1007" s="23" t="str">
        <x:v>21137</x:v>
      </x:c>
      <x:c r="D1007" s="23" t="str">
        <x:v>BLACK RECORD COVER FRAME</x:v>
      </x:c>
      <x:c r="E1007" s="34" t="n">
        <x:v>120</x:v>
      </x:c>
      <x:c r="F1007" s="55" t="n">
        <x:v>415.44</x:v>
      </x:c>
      <x:c r="G1007" s="58" t="n">
        <x:f>E1006</x:f>
        <x:v>6</x:v>
      </x:c>
      <x:c r="H1007" s="58" t="n">
        <x:f>AVERAGE(E1003:E1006)</x:f>
        <x:v>28.75</x:v>
      </x:c>
      <x:c r="I1007" s="58" t="n">
        <x:f>AVERAGE(E999:E1006)</x:f>
        <x:v>91.75</x:v>
      </x:c>
      <x:c r="J1007" s="58" t="n">
        <x:f>IF(G1007="","",ABS(E1007-G1007))</x:f>
        <x:v>114</x:v>
      </x:c>
      <x:c r="K1007" s="58" t="n">
        <x:f>IF(H1007="","",ABS(E1007-H1007))</x:f>
        <x:v>91.25</x:v>
      </x:c>
      <x:c r="L1007" s="58" t="n">
        <x:f>IF(I1007="","",ABS(E1007-I1007))</x:f>
        <x:v>28.25</x:v>
      </x:c>
      <x:c r="M1007" s="23" t="str">
        <x:f>IF(B1007&gt;44,"Validation","Training")</x:f>
        <x:v>Training</x:v>
      </x:c>
      <x:c r="N1007" s="61" t="n">
        <x:f>IF(OR(H1007="",E1007=0),"",K1007/E1007)</x:f>
        <x:v>0.7604166666666666</x:v>
      </x:c>
    </x:row>
    <x:row r="1008">
      <x:c r="A1008" s="28" t="n">
        <x:v>40623</x:v>
      </x:c>
      <x:c r="B1008" s="23" t="n">
        <x:v>16</x:v>
      </x:c>
      <x:c r="C1008" s="23" t="str">
        <x:v>21137</x:v>
      </x:c>
      <x:c r="D1008" s="23" t="str">
        <x:v>BLACK RECORD COVER FRAME</x:v>
      </x:c>
      <x:c r="E1008" s="34" t="n">
        <x:v>117</x:v>
      </x:c>
      <x:c r="F1008" s="55" t="n">
        <x:v>449.93</x:v>
      </x:c>
      <x:c r="G1008" s="58" t="n">
        <x:f>E1007</x:f>
        <x:v>120</x:v>
      </x:c>
      <x:c r="H1008" s="58" t="n">
        <x:f>AVERAGE(E1004:E1007)</x:f>
        <x:v>48.75</x:v>
      </x:c>
      <x:c r="I1008" s="58" t="n">
        <x:f>AVERAGE(E1000:E1007)</x:f>
        <x:v>103.75</x:v>
      </x:c>
      <x:c r="J1008" s="58" t="n">
        <x:f>IF(G1008="","",ABS(E1008-G1008))</x:f>
        <x:v>3</x:v>
      </x:c>
      <x:c r="K1008" s="58" t="n">
        <x:f>IF(H1008="","",ABS(E1008-H1008))</x:f>
        <x:v>68.25</x:v>
      </x:c>
      <x:c r="L1008" s="58" t="n">
        <x:f>IF(I1008="","",ABS(E1008-I1008))</x:f>
        <x:v>13.25</x:v>
      </x:c>
      <x:c r="M1008" s="23" t="str">
        <x:f>IF(B1008&gt;44,"Validation","Training")</x:f>
        <x:v>Training</x:v>
      </x:c>
      <x:c r="N1008" s="61" t="n">
        <x:f>IF(OR(H1008="",E1008=0),"",K1008/E1008)</x:f>
        <x:v>0.5833333333333334</x:v>
      </x:c>
    </x:row>
    <x:row r="1009">
      <x:c r="A1009" s="28" t="n">
        <x:v>40630</x:v>
      </x:c>
      <x:c r="B1009" s="23" t="n">
        <x:v>17</x:v>
      </x:c>
      <x:c r="C1009" s="23" t="str">
        <x:v>21137</x:v>
      </x:c>
      <x:c r="D1009" s="23" t="str">
        <x:v>BLACK RECORD COVER FRAME</x:v>
      </x:c>
      <x:c r="E1009" s="34" t="n">
        <x:v>50</x:v>
      </x:c>
      <x:c r="F1009" s="55" t="n">
        <x:v>201.12</x:v>
      </x:c>
      <x:c r="G1009" s="58" t="n">
        <x:f>E1008</x:f>
        <x:v>117</x:v>
      </x:c>
      <x:c r="H1009" s="58" t="n">
        <x:f>AVERAGE(E1005:E1008)</x:f>
        <x:v>60.75</x:v>
      </x:c>
      <x:c r="I1009" s="58" t="n">
        <x:f>AVERAGE(E1001:E1008)</x:f>
        <x:v>118</x:v>
      </x:c>
      <x:c r="J1009" s="58" t="n">
        <x:f>IF(G1009="","",ABS(E1009-G1009))</x:f>
        <x:v>67</x:v>
      </x:c>
      <x:c r="K1009" s="58" t="n">
        <x:f>IF(H1009="","",ABS(E1009-H1009))</x:f>
        <x:v>10.75</x:v>
      </x:c>
      <x:c r="L1009" s="58" t="n">
        <x:f>IF(I1009="","",ABS(E1009-I1009))</x:f>
        <x:v>68</x:v>
      </x:c>
      <x:c r="M1009" s="23" t="str">
        <x:f>IF(B1009&gt;44,"Validation","Training")</x:f>
        <x:v>Training</x:v>
      </x:c>
      <x:c r="N1009" s="61" t="n">
        <x:f>IF(OR(H1009="",E1009=0),"",K1009/E1009)</x:f>
        <x:v>0.215</x:v>
      </x:c>
    </x:row>
    <x:row r="1010">
      <x:c r="A1010" s="28" t="n">
        <x:v>40637</x:v>
      </x:c>
      <x:c r="B1010" s="23" t="n">
        <x:v>18</x:v>
      </x:c>
      <x:c r="C1010" s="23" t="str">
        <x:v>21137</x:v>
      </x:c>
      <x:c r="D1010" s="23" t="str">
        <x:v>BLACK RECORD COVER FRAME</x:v>
      </x:c>
      <x:c r="E1010" s="34" t="n">
        <x:v>11</x:v>
      </x:c>
      <x:c r="F1010" s="55" t="n">
        <x:v>41.25</x:v>
      </x:c>
      <x:c r="G1010" s="58" t="n">
        <x:f>E1009</x:f>
        <x:v>50</x:v>
      </x:c>
      <x:c r="H1010" s="58" t="n">
        <x:f>AVERAGE(E1006:E1009)</x:f>
        <x:v>73.25</x:v>
      </x:c>
      <x:c r="I1010" s="58" t="n">
        <x:f>AVERAGE(E1002:E1009)</x:f>
        <x:v>50.25</x:v>
      </x:c>
      <x:c r="J1010" s="58" t="n">
        <x:f>IF(G1010="","",ABS(E1010-G1010))</x:f>
        <x:v>39</x:v>
      </x:c>
      <x:c r="K1010" s="58" t="n">
        <x:f>IF(H1010="","",ABS(E1010-H1010))</x:f>
        <x:v>62.25</x:v>
      </x:c>
      <x:c r="L1010" s="58" t="n">
        <x:f>IF(I1010="","",ABS(E1010-I1010))</x:f>
        <x:v>39.25</x:v>
      </x:c>
      <x:c r="M1010" s="23" t="str">
        <x:f>IF(B1010&gt;44,"Validation","Training")</x:f>
        <x:v>Training</x:v>
      </x:c>
      <x:c r="N1010" s="61" t="n">
        <x:f>IF(OR(H1010="",E1010=0),"",K1010/E1010)</x:f>
        <x:v>5.659090909090909</x:v>
      </x:c>
    </x:row>
    <x:row r="1011">
      <x:c r="A1011" s="28" t="n">
        <x:v>40644</x:v>
      </x:c>
      <x:c r="B1011" s="23" t="n">
        <x:v>19</x:v>
      </x:c>
      <x:c r="C1011" s="23" t="str">
        <x:v>21137</x:v>
      </x:c>
      <x:c r="D1011" s="23" t="str">
        <x:v>BLACK RECORD COVER FRAME</x:v>
      </x:c>
      <x:c r="E1011" s="34" t="n">
        <x:v>84</x:v>
      </x:c>
      <x:c r="F1011" s="55" t="n">
        <x:v>289.08</x:v>
      </x:c>
      <x:c r="G1011" s="58" t="n">
        <x:f>E1010</x:f>
        <x:v>11</x:v>
      </x:c>
      <x:c r="H1011" s="58" t="n">
        <x:f>AVERAGE(E1007:E1010)</x:f>
        <x:v>74.5</x:v>
      </x:c>
      <x:c r="I1011" s="58" t="n">
        <x:f>AVERAGE(E1003:E1010)</x:f>
        <x:v>51.625</x:v>
      </x:c>
      <x:c r="J1011" s="58" t="n">
        <x:f>IF(G1011="","",ABS(E1011-G1011))</x:f>
        <x:v>73</x:v>
      </x:c>
      <x:c r="K1011" s="58" t="n">
        <x:f>IF(H1011="","",ABS(E1011-H1011))</x:f>
        <x:v>9.5</x:v>
      </x:c>
      <x:c r="L1011" s="58" t="n">
        <x:f>IF(I1011="","",ABS(E1011-I1011))</x:f>
        <x:v>32.375</x:v>
      </x:c>
      <x:c r="M1011" s="23" t="str">
        <x:f>IF(B1011&gt;44,"Validation","Training")</x:f>
        <x:v>Training</x:v>
      </x:c>
      <x:c r="N1011" s="61" t="n">
        <x:f>IF(OR(H1011="",E1011=0),"",K1011/E1011)</x:f>
        <x:v>0.1130952380952381</x:v>
      </x:c>
    </x:row>
    <x:row r="1012">
      <x:c r="A1012" s="28" t="n">
        <x:v>40651</x:v>
      </x:c>
      <x:c r="B1012" s="23" t="n">
        <x:v>20</x:v>
      </x:c>
      <x:c r="C1012" s="23" t="str">
        <x:v>21137</x:v>
      </x:c>
      <x:c r="D1012" s="23" t="str">
        <x:v>BLACK RECORD COVER FRAME</x:v>
      </x:c>
      <x:c r="E1012" s="34" t="n">
        <x:v>110</x:v>
      </x:c>
      <x:c r="F1012" s="55" t="n">
        <x:v>386.58</x:v>
      </x:c>
      <x:c r="G1012" s="58" t="n">
        <x:f>E1011</x:f>
        <x:v>84</x:v>
      </x:c>
      <x:c r="H1012" s="58" t="n">
        <x:f>AVERAGE(E1008:E1011)</x:f>
        <x:v>65.5</x:v>
      </x:c>
      <x:c r="I1012" s="58" t="n">
        <x:f>AVERAGE(E1004:E1011)</x:f>
        <x:v>57.125</x:v>
      </x:c>
      <x:c r="J1012" s="58" t="n">
        <x:f>IF(G1012="","",ABS(E1012-G1012))</x:f>
        <x:v>26</x:v>
      </x:c>
      <x:c r="K1012" s="58" t="n">
        <x:f>IF(H1012="","",ABS(E1012-H1012))</x:f>
        <x:v>44.5</x:v>
      </x:c>
      <x:c r="L1012" s="58" t="n">
        <x:f>IF(I1012="","",ABS(E1012-I1012))</x:f>
        <x:v>52.875</x:v>
      </x:c>
      <x:c r="M1012" s="23" t="str">
        <x:f>IF(B1012&gt;44,"Validation","Training")</x:f>
        <x:v>Training</x:v>
      </x:c>
      <x:c r="N1012" s="61" t="n">
        <x:f>IF(OR(H1012="",E1012=0),"",K1012/E1012)</x:f>
        <x:v>0.40454545454545454</x:v>
      </x:c>
    </x:row>
    <x:row r="1013">
      <x:c r="A1013" s="28" t="n">
        <x:v>40658</x:v>
      </x:c>
      <x:c r="B1013" s="23" t="n">
        <x:v>21</x:v>
      </x:c>
      <x:c r="C1013" s="23" t="str">
        <x:v>21137</x:v>
      </x:c>
      <x:c r="D1013" s="23" t="str">
        <x:v>BLACK RECORD COVER FRAME</x:v>
      </x:c>
      <x:c r="E1013" s="34" t="n">
        <x:v>38</x:v>
      </x:c>
      <x:c r="F1013" s="55" t="n">
        <x:v>133.86</x:v>
      </x:c>
      <x:c r="G1013" s="58" t="n">
        <x:f>E1012</x:f>
        <x:v>110</x:v>
      </x:c>
      <x:c r="H1013" s="58" t="n">
        <x:f>AVERAGE(E1009:E1012)</x:f>
        <x:v>63.75</x:v>
      </x:c>
      <x:c r="I1013" s="58" t="n">
        <x:f>AVERAGE(E1005:E1012)</x:f>
        <x:v>62.25</x:v>
      </x:c>
      <x:c r="J1013" s="58" t="n">
        <x:f>IF(G1013="","",ABS(E1013-G1013))</x:f>
        <x:v>72</x:v>
      </x:c>
      <x:c r="K1013" s="58" t="n">
        <x:f>IF(H1013="","",ABS(E1013-H1013))</x:f>
        <x:v>25.75</x:v>
      </x:c>
      <x:c r="L1013" s="58" t="n">
        <x:f>IF(I1013="","",ABS(E1013-I1013))</x:f>
        <x:v>24.25</x:v>
      </x:c>
      <x:c r="M1013" s="23" t="str">
        <x:f>IF(B1013&gt;44,"Validation","Training")</x:f>
        <x:v>Training</x:v>
      </x:c>
      <x:c r="N1013" s="61" t="n">
        <x:f>IF(OR(H1013="",E1013=0),"",K1013/E1013)</x:f>
        <x:v>0.6776315789473685</x:v>
      </x:c>
    </x:row>
    <x:row r="1014">
      <x:c r="A1014" s="28" t="n">
        <x:v>40665</x:v>
      </x:c>
      <x:c r="B1014" s="23" t="n">
        <x:v>22</x:v>
      </x:c>
      <x:c r="C1014" s="23" t="str">
        <x:v>21137</x:v>
      </x:c>
      <x:c r="D1014" s="23" t="str">
        <x:v>BLACK RECORD COVER FRAME</x:v>
      </x:c>
      <x:c r="E1014" s="34" t="n">
        <x:v>396</x:v>
      </x:c>
      <x:c r="F1014" s="55" t="n">
        <x:v>1354.18</x:v>
      </x:c>
      <x:c r="G1014" s="58" t="n">
        <x:f>E1013</x:f>
        <x:v>38</x:v>
      </x:c>
      <x:c r="H1014" s="58" t="n">
        <x:f>AVERAGE(E1010:E1013)</x:f>
        <x:v>60.75</x:v>
      </x:c>
      <x:c r="I1014" s="58" t="n">
        <x:f>AVERAGE(E1006:E1013)</x:f>
        <x:v>67</x:v>
      </x:c>
      <x:c r="J1014" s="58" t="n">
        <x:f>IF(G1014="","",ABS(E1014-G1014))</x:f>
        <x:v>358</x:v>
      </x:c>
      <x:c r="K1014" s="58" t="n">
        <x:f>IF(H1014="","",ABS(E1014-H1014))</x:f>
        <x:v>335.25</x:v>
      </x:c>
      <x:c r="L1014" s="58" t="n">
        <x:f>IF(I1014="","",ABS(E1014-I1014))</x:f>
        <x:v>329</x:v>
      </x:c>
      <x:c r="M1014" s="23" t="str">
        <x:f>IF(B1014&gt;44,"Validation","Training")</x:f>
        <x:v>Training</x:v>
      </x:c>
      <x:c r="N1014" s="61" t="n">
        <x:f>IF(OR(H1014="",E1014=0),"",K1014/E1014)</x:f>
        <x:v>0.8465909090909091</x:v>
      </x:c>
    </x:row>
    <x:row r="1015">
      <x:c r="A1015" s="28" t="n">
        <x:v>40672</x:v>
      </x:c>
      <x:c r="B1015" s="23" t="n">
        <x:v>23</x:v>
      </x:c>
      <x:c r="C1015" s="23" t="str">
        <x:v>21137</x:v>
      </x:c>
      <x:c r="D1015" s="23" t="str">
        <x:v>BLACK RECORD COVER FRAME</x:v>
      </x:c>
      <x:c r="E1015" s="34" t="n">
        <x:v>81</x:v>
      </x:c>
      <x:c r="F1015" s="55" t="n">
        <x:v>286.47</x:v>
      </x:c>
      <x:c r="G1015" s="58" t="n">
        <x:f>E1014</x:f>
        <x:v>396</x:v>
      </x:c>
      <x:c r="H1015" s="58" t="n">
        <x:f>AVERAGE(E1011:E1014)</x:f>
        <x:v>157</x:v>
      </x:c>
      <x:c r="I1015" s="58" t="n">
        <x:f>AVERAGE(E1007:E1014)</x:f>
        <x:v>115.75</x:v>
      </x:c>
      <x:c r="J1015" s="58" t="n">
        <x:f>IF(G1015="","",ABS(E1015-G1015))</x:f>
        <x:v>315</x:v>
      </x:c>
      <x:c r="K1015" s="58" t="n">
        <x:f>IF(H1015="","",ABS(E1015-H1015))</x:f>
        <x:v>76</x:v>
      </x:c>
      <x:c r="L1015" s="58" t="n">
        <x:f>IF(I1015="","",ABS(E1015-I1015))</x:f>
        <x:v>34.75</x:v>
      </x:c>
      <x:c r="M1015" s="23" t="str">
        <x:f>IF(B1015&gt;44,"Validation","Training")</x:f>
        <x:v>Training</x:v>
      </x:c>
      <x:c r="N1015" s="61" t="n">
        <x:f>IF(OR(H1015="",E1015=0),"",K1015/E1015)</x:f>
        <x:v>0.9382716049382716</x:v>
      </x:c>
    </x:row>
    <x:row r="1016">
      <x:c r="A1016" s="28" t="n">
        <x:v>40679</x:v>
      </x:c>
      <x:c r="B1016" s="23" t="n">
        <x:v>24</x:v>
      </x:c>
      <x:c r="C1016" s="23" t="str">
        <x:v>21137</x:v>
      </x:c>
      <x:c r="D1016" s="23" t="str">
        <x:v>BLACK RECORD COVER FRAME</x:v>
      </x:c>
      <x:c r="E1016" s="34" t="n">
        <x:v>36</x:v>
      </x:c>
      <x:c r="F1016" s="55" t="n">
        <x:v>126.36</x:v>
      </x:c>
      <x:c r="G1016" s="58" t="n">
        <x:f>E1015</x:f>
        <x:v>81</x:v>
      </x:c>
      <x:c r="H1016" s="58" t="n">
        <x:f>AVERAGE(E1012:E1015)</x:f>
        <x:v>156.25</x:v>
      </x:c>
      <x:c r="I1016" s="58" t="n">
        <x:f>AVERAGE(E1008:E1015)</x:f>
        <x:v>110.875</x:v>
      </x:c>
      <x:c r="J1016" s="58" t="n">
        <x:f>IF(G1016="","",ABS(E1016-G1016))</x:f>
        <x:v>45</x:v>
      </x:c>
      <x:c r="K1016" s="58" t="n">
        <x:f>IF(H1016="","",ABS(E1016-H1016))</x:f>
        <x:v>120.25</x:v>
      </x:c>
      <x:c r="L1016" s="58" t="n">
        <x:f>IF(I1016="","",ABS(E1016-I1016))</x:f>
        <x:v>74.875</x:v>
      </x:c>
      <x:c r="M1016" s="23" t="str">
        <x:f>IF(B1016&gt;44,"Validation","Training")</x:f>
        <x:v>Training</x:v>
      </x:c>
      <x:c r="N1016" s="61" t="n">
        <x:f>IF(OR(H1016="",E1016=0),"",K1016/E1016)</x:f>
        <x:v>3.3402777777777777</x:v>
      </x:c>
    </x:row>
    <x:row r="1017">
      <x:c r="A1017" s="28" t="n">
        <x:v>40686</x:v>
      </x:c>
      <x:c r="B1017" s="23" t="n">
        <x:v>25</x:v>
      </x:c>
      <x:c r="C1017" s="23" t="str">
        <x:v>21137</x:v>
      </x:c>
      <x:c r="D1017" s="23" t="str">
        <x:v>BLACK RECORD COVER FRAME</x:v>
      </x:c>
      <x:c r="E1017" s="34" t="n">
        <x:v>0</x:v>
      </x:c>
      <x:c r="F1017" s="55" t="n">
        <x:v>0</x:v>
      </x:c>
      <x:c r="G1017" s="58" t="n">
        <x:f>E1016</x:f>
        <x:v>36</x:v>
      </x:c>
      <x:c r="H1017" s="58" t="n">
        <x:f>AVERAGE(E1013:E1016)</x:f>
        <x:v>137.75</x:v>
      </x:c>
      <x:c r="I1017" s="58" t="n">
        <x:f>AVERAGE(E1009:E1016)</x:f>
        <x:v>100.75</x:v>
      </x:c>
      <x:c r="J1017" s="58" t="n">
        <x:f>IF(G1017="","",ABS(E1017-G1017))</x:f>
        <x:v>36</x:v>
      </x:c>
      <x:c r="K1017" s="58" t="n">
        <x:f>IF(H1017="","",ABS(E1017-H1017))</x:f>
        <x:v>137.75</x:v>
      </x:c>
      <x:c r="L1017" s="58" t="n">
        <x:f>IF(I1017="","",ABS(E1017-I1017))</x:f>
        <x:v>100.75</x:v>
      </x:c>
      <x:c r="M1017" s="23" t="str">
        <x:f>IF(B1017&gt;44,"Validation","Training")</x:f>
        <x:v>Training</x:v>
      </x:c>
      <x:c r="N1017" s="61" t="str">
        <x:f>IF(OR(H1017="",E1017=0),"",K1017/E1017)</x:f>
      </x:c>
    </x:row>
    <x:row r="1018">
      <x:c r="A1018" s="28" t="n">
        <x:v>40693</x:v>
      </x:c>
      <x:c r="B1018" s="23" t="n">
        <x:v>26</x:v>
      </x:c>
      <x:c r="C1018" s="23" t="str">
        <x:v>21137</x:v>
      </x:c>
      <x:c r="D1018" s="23" t="str">
        <x:v>BLACK RECORD COVER FRAME</x:v>
      </x:c>
      <x:c r="E1018" s="34" t="n">
        <x:v>504</x:v>
      </x:c>
      <x:c r="F1018" s="55" t="n">
        <x:v>1708.56</x:v>
      </x:c>
      <x:c r="G1018" s="58" t="n">
        <x:f>E1017</x:f>
        <x:v>0</x:v>
      </x:c>
      <x:c r="H1018" s="58" t="n">
        <x:f>AVERAGE(E1014:E1017)</x:f>
        <x:v>128.25</x:v>
      </x:c>
      <x:c r="I1018" s="58" t="n">
        <x:f>AVERAGE(E1010:E1017)</x:f>
        <x:v>94.5</x:v>
      </x:c>
      <x:c r="J1018" s="58" t="str">
        <x:f>IF(G1018="","",ABS(E1018-G1018))</x:f>
      </x:c>
      <x:c r="K1018" s="58" t="n">
        <x:f>IF(H1018="","",ABS(E1018-H1018))</x:f>
        <x:v>375.75</x:v>
      </x:c>
      <x:c r="L1018" s="58" t="n">
        <x:f>IF(I1018="","",ABS(E1018-I1018))</x:f>
        <x:v>409.5</x:v>
      </x:c>
      <x:c r="M1018" s="23" t="str">
        <x:f>IF(B1018&gt;44,"Validation","Training")</x:f>
        <x:v>Training</x:v>
      </x:c>
      <x:c r="N1018" s="61" t="n">
        <x:f>IF(OR(H1018="",E1018=0),"",K1018/E1018)</x:f>
        <x:v>0.7455357142857143</x:v>
      </x:c>
    </x:row>
    <x:row r="1019">
      <x:c r="A1019" s="28" t="n">
        <x:v>40700</x:v>
      </x:c>
      <x:c r="B1019" s="23" t="n">
        <x:v>27</x:v>
      </x:c>
      <x:c r="C1019" s="23" t="str">
        <x:v>21137</x:v>
      </x:c>
      <x:c r="D1019" s="23" t="str">
        <x:v>BLACK RECORD COVER FRAME</x:v>
      </x:c>
      <x:c r="E1019" s="34" t="n">
        <x:v>18</x:v>
      </x:c>
      <x:c r="F1019" s="55" t="n">
        <x:v>71.21</x:v>
      </x:c>
      <x:c r="G1019" s="58" t="n">
        <x:f>E1018</x:f>
        <x:v>504</x:v>
      </x:c>
      <x:c r="H1019" s="58" t="n">
        <x:f>AVERAGE(E1015:E1018)</x:f>
        <x:v>155.25</x:v>
      </x:c>
      <x:c r="I1019" s="58" t="n">
        <x:f>AVERAGE(E1011:E1018)</x:f>
        <x:v>156.125</x:v>
      </x:c>
      <x:c r="J1019" s="58" t="n">
        <x:f>IF(G1019="","",ABS(E1019-G1019))</x:f>
        <x:v>486</x:v>
      </x:c>
      <x:c r="K1019" s="58" t="n">
        <x:f>IF(H1019="","",ABS(E1019-H1019))</x:f>
        <x:v>137.25</x:v>
      </x:c>
      <x:c r="L1019" s="58" t="n">
        <x:f>IF(I1019="","",ABS(E1019-I1019))</x:f>
        <x:v>138.125</x:v>
      </x:c>
      <x:c r="M1019" s="23" t="str">
        <x:f>IF(B1019&gt;44,"Validation","Training")</x:f>
        <x:v>Training</x:v>
      </x:c>
      <x:c r="N1019" s="61" t="n">
        <x:f>IF(OR(H1019="",E1019=0),"",K1019/E1019)</x:f>
        <x:v>7.625</x:v>
      </x:c>
    </x:row>
    <x:row r="1020">
      <x:c r="A1020" s="28" t="n">
        <x:v>40707</x:v>
      </x:c>
      <x:c r="B1020" s="23" t="n">
        <x:v>28</x:v>
      </x:c>
      <x:c r="C1020" s="23" t="str">
        <x:v>21137</x:v>
      </x:c>
      <x:c r="D1020" s="23" t="str">
        <x:v>BLACK RECORD COVER FRAME</x:v>
      </x:c>
      <x:c r="E1020" s="34" t="n">
        <x:v>865</x:v>
      </x:c>
      <x:c r="F1020" s="55" t="n">
        <x:v>2952.48</x:v>
      </x:c>
      <x:c r="G1020" s="58" t="n">
        <x:f>E1019</x:f>
        <x:v>18</x:v>
      </x:c>
      <x:c r="H1020" s="58" t="n">
        <x:f>AVERAGE(E1016:E1019)</x:f>
        <x:v>139.5</x:v>
      </x:c>
      <x:c r="I1020" s="58" t="n">
        <x:f>AVERAGE(E1012:E1019)</x:f>
        <x:v>147.875</x:v>
      </x:c>
      <x:c r="J1020" s="58" t="n">
        <x:f>IF(G1020="","",ABS(E1020-G1020))</x:f>
        <x:v>847</x:v>
      </x:c>
      <x:c r="K1020" s="58" t="n">
        <x:f>IF(H1020="","",ABS(E1020-H1020))</x:f>
        <x:v>725.5</x:v>
      </x:c>
      <x:c r="L1020" s="58" t="n">
        <x:f>IF(I1020="","",ABS(E1020-I1020))</x:f>
        <x:v>717.125</x:v>
      </x:c>
      <x:c r="M1020" s="23" t="str">
        <x:f>IF(B1020&gt;44,"Validation","Training")</x:f>
        <x:v>Training</x:v>
      </x:c>
      <x:c r="N1020" s="61" t="n">
        <x:f>IF(OR(H1020="",E1020=0),"",K1020/E1020)</x:f>
        <x:v>0.838728323699422</x:v>
      </x:c>
    </x:row>
    <x:row r="1021">
      <x:c r="A1021" s="28" t="n">
        <x:v>40714</x:v>
      </x:c>
      <x:c r="B1021" s="23" t="n">
        <x:v>29</x:v>
      </x:c>
      <x:c r="C1021" s="23" t="str">
        <x:v>21137</x:v>
      </x:c>
      <x:c r="D1021" s="23" t="str">
        <x:v>BLACK RECORD COVER FRAME</x:v>
      </x:c>
      <x:c r="E1021" s="34" t="n">
        <x:v>131</x:v>
      </x:c>
      <x:c r="F1021" s="55" t="n">
        <x:v>464.11</x:v>
      </x:c>
      <x:c r="G1021" s="58" t="n">
        <x:f>E1020</x:f>
        <x:v>865</x:v>
      </x:c>
      <x:c r="H1021" s="58" t="n">
        <x:f>AVERAGE(E1017:E1020)</x:f>
        <x:v>346.75</x:v>
      </x:c>
      <x:c r="I1021" s="58" t="n">
        <x:f>AVERAGE(E1013:E1020)</x:f>
        <x:v>242.25</x:v>
      </x:c>
      <x:c r="J1021" s="58" t="n">
        <x:f>IF(G1021="","",ABS(E1021-G1021))</x:f>
        <x:v>734</x:v>
      </x:c>
      <x:c r="K1021" s="58" t="n">
        <x:f>IF(H1021="","",ABS(E1021-H1021))</x:f>
        <x:v>215.75</x:v>
      </x:c>
      <x:c r="L1021" s="58" t="n">
        <x:f>IF(I1021="","",ABS(E1021-I1021))</x:f>
        <x:v>111.25</x:v>
      </x:c>
      <x:c r="M1021" s="23" t="str">
        <x:f>IF(B1021&gt;44,"Validation","Training")</x:f>
        <x:v>Training</x:v>
      </x:c>
      <x:c r="N1021" s="61" t="n">
        <x:f>IF(OR(H1021="",E1021=0),"",K1021/E1021)</x:f>
        <x:v>1.6469465648854962</x:v>
      </x:c>
    </x:row>
    <x:row r="1022">
      <x:c r="A1022" s="28" t="n">
        <x:v>40721</x:v>
      </x:c>
      <x:c r="B1022" s="23" t="n">
        <x:v>30</x:v>
      </x:c>
      <x:c r="C1022" s="23" t="str">
        <x:v>21137</x:v>
      </x:c>
      <x:c r="D1022" s="23" t="str">
        <x:v>BLACK RECORD COVER FRAME</x:v>
      </x:c>
      <x:c r="E1022" s="34" t="n">
        <x:v>236</x:v>
      </x:c>
      <x:c r="F1022" s="55" t="n">
        <x:v>807.24</x:v>
      </x:c>
      <x:c r="G1022" s="58" t="n">
        <x:f>E1021</x:f>
        <x:v>131</x:v>
      </x:c>
      <x:c r="H1022" s="58" t="n">
        <x:f>AVERAGE(E1018:E1021)</x:f>
        <x:v>379.5</x:v>
      </x:c>
      <x:c r="I1022" s="58" t="n">
        <x:f>AVERAGE(E1014:E1021)</x:f>
        <x:v>253.875</x:v>
      </x:c>
      <x:c r="J1022" s="58" t="n">
        <x:f>IF(G1022="","",ABS(E1022-G1022))</x:f>
        <x:v>105</x:v>
      </x:c>
      <x:c r="K1022" s="58" t="n">
        <x:f>IF(H1022="","",ABS(E1022-H1022))</x:f>
        <x:v>143.5</x:v>
      </x:c>
      <x:c r="L1022" s="58" t="n">
        <x:f>IF(I1022="","",ABS(E1022-I1022))</x:f>
        <x:v>17.875</x:v>
      </x:c>
      <x:c r="M1022" s="23" t="str">
        <x:f>IF(B1022&gt;44,"Validation","Training")</x:f>
        <x:v>Training</x:v>
      </x:c>
      <x:c r="N1022" s="61" t="n">
        <x:f>IF(OR(H1022="",E1022=0),"",K1022/E1022)</x:f>
        <x:v>0.6080508474576272</x:v>
      </x:c>
    </x:row>
    <x:row r="1023">
      <x:c r="A1023" s="28" t="n">
        <x:v>40728</x:v>
      </x:c>
      <x:c r="B1023" s="23" t="n">
        <x:v>31</x:v>
      </x:c>
      <x:c r="C1023" s="23" t="str">
        <x:v>21137</x:v>
      </x:c>
      <x:c r="D1023" s="23" t="str">
        <x:v>BLACK RECORD COVER FRAME</x:v>
      </x:c>
      <x:c r="E1023" s="34" t="n">
        <x:v>90</x:v>
      </x:c>
      <x:c r="F1023" s="55" t="n">
        <x:v>331.35</x:v>
      </x:c>
      <x:c r="G1023" s="58" t="n">
        <x:f>E1022</x:f>
        <x:v>236</x:v>
      </x:c>
      <x:c r="H1023" s="58" t="n">
        <x:f>AVERAGE(E1019:E1022)</x:f>
        <x:v>312.5</x:v>
      </x:c>
      <x:c r="I1023" s="58" t="n">
        <x:f>AVERAGE(E1015:E1022)</x:f>
        <x:v>233.875</x:v>
      </x:c>
      <x:c r="J1023" s="58" t="n">
        <x:f>IF(G1023="","",ABS(E1023-G1023))</x:f>
        <x:v>146</x:v>
      </x:c>
      <x:c r="K1023" s="58" t="n">
        <x:f>IF(H1023="","",ABS(E1023-H1023))</x:f>
        <x:v>222.5</x:v>
      </x:c>
      <x:c r="L1023" s="58" t="n">
        <x:f>IF(I1023="","",ABS(E1023-I1023))</x:f>
        <x:v>143.875</x:v>
      </x:c>
      <x:c r="M1023" s="23" t="str">
        <x:f>IF(B1023&gt;44,"Validation","Training")</x:f>
        <x:v>Training</x:v>
      </x:c>
      <x:c r="N1023" s="61" t="n">
        <x:f>IF(OR(H1023="",E1023=0),"",K1023/E1023)</x:f>
        <x:v>2.4722222222222223</x:v>
      </x:c>
    </x:row>
    <x:row r="1024">
      <x:c r="A1024" s="28" t="n">
        <x:v>40735</x:v>
      </x:c>
      <x:c r="B1024" s="23" t="n">
        <x:v>32</x:v>
      </x:c>
      <x:c r="C1024" s="23" t="str">
        <x:v>21137</x:v>
      </x:c>
      <x:c r="D1024" s="23" t="str">
        <x:v>BLACK RECORD COVER FRAME</x:v>
      </x:c>
      <x:c r="E1024" s="34" t="n">
        <x:v>100</x:v>
      </x:c>
      <x:c r="F1024" s="55" t="n">
        <x:v>340.44</x:v>
      </x:c>
      <x:c r="G1024" s="58" t="n">
        <x:f>E1023</x:f>
        <x:v>90</x:v>
      </x:c>
      <x:c r="H1024" s="58" t="n">
        <x:f>AVERAGE(E1020:E1023)</x:f>
        <x:v>330.5</x:v>
      </x:c>
      <x:c r="I1024" s="58" t="n">
        <x:f>AVERAGE(E1016:E1023)</x:f>
        <x:v>235</x:v>
      </x:c>
      <x:c r="J1024" s="58" t="n">
        <x:f>IF(G1024="","",ABS(E1024-G1024))</x:f>
        <x:v>10</x:v>
      </x:c>
      <x:c r="K1024" s="58" t="n">
        <x:f>IF(H1024="","",ABS(E1024-H1024))</x:f>
        <x:v>230.5</x:v>
      </x:c>
      <x:c r="L1024" s="58" t="n">
        <x:f>IF(I1024="","",ABS(E1024-I1024))</x:f>
        <x:v>135</x:v>
      </x:c>
      <x:c r="M1024" s="23" t="str">
        <x:f>IF(B1024&gt;44,"Validation","Training")</x:f>
        <x:v>Training</x:v>
      </x:c>
      <x:c r="N1024" s="61" t="n">
        <x:f>IF(OR(H1024="",E1024=0),"",K1024/E1024)</x:f>
        <x:v>2.305</x:v>
      </x:c>
    </x:row>
    <x:row r="1025">
      <x:c r="A1025" s="28" t="n">
        <x:v>40742</x:v>
      </x:c>
      <x:c r="B1025" s="23" t="n">
        <x:v>33</x:v>
      </x:c>
      <x:c r="C1025" s="23" t="str">
        <x:v>21137</x:v>
      </x:c>
      <x:c r="D1025" s="23" t="str">
        <x:v>BLACK RECORD COVER FRAME</x:v>
      </x:c>
      <x:c r="E1025" s="34" t="n">
        <x:v>254</x:v>
      </x:c>
      <x:c r="F1025" s="55" t="n">
        <x:v>869.81</x:v>
      </x:c>
      <x:c r="G1025" s="58" t="n">
        <x:f>E1024</x:f>
        <x:v>100</x:v>
      </x:c>
      <x:c r="H1025" s="58" t="n">
        <x:f>AVERAGE(E1021:E1024)</x:f>
        <x:v>139.25</x:v>
      </x:c>
      <x:c r="I1025" s="58" t="n">
        <x:f>AVERAGE(E1017:E1024)</x:f>
        <x:v>243</x:v>
      </x:c>
      <x:c r="J1025" s="58" t="n">
        <x:f>IF(G1025="","",ABS(E1025-G1025))</x:f>
        <x:v>154</x:v>
      </x:c>
      <x:c r="K1025" s="58" t="n">
        <x:f>IF(H1025="","",ABS(E1025-H1025))</x:f>
        <x:v>114.75</x:v>
      </x:c>
      <x:c r="L1025" s="58" t="n">
        <x:f>IF(I1025="","",ABS(E1025-I1025))</x:f>
        <x:v>11</x:v>
      </x:c>
      <x:c r="M1025" s="23" t="str">
        <x:f>IF(B1025&gt;44,"Validation","Training")</x:f>
        <x:v>Training</x:v>
      </x:c>
      <x:c r="N1025" s="61" t="n">
        <x:f>IF(OR(H1025="",E1025=0),"",K1025/E1025)</x:f>
        <x:v>0.45177165354330706</x:v>
      </x:c>
    </x:row>
    <x:row r="1026">
      <x:c r="A1026" s="28" t="n">
        <x:v>40749</x:v>
      </x:c>
      <x:c r="B1026" s="23" t="n">
        <x:v>34</x:v>
      </x:c>
      <x:c r="C1026" s="23" t="str">
        <x:v>21137</x:v>
      </x:c>
      <x:c r="D1026" s="23" t="str">
        <x:v>BLACK RECORD COVER FRAME</x:v>
      </x:c>
      <x:c r="E1026" s="34" t="n">
        <x:v>116</x:v>
      </x:c>
      <x:c r="F1026" s="55" t="n">
        <x:v>404.15</x:v>
      </x:c>
      <x:c r="G1026" s="58" t="n">
        <x:f>E1025</x:f>
        <x:v>254</x:v>
      </x:c>
      <x:c r="H1026" s="58" t="n">
        <x:f>AVERAGE(E1022:E1025)</x:f>
        <x:v>170</x:v>
      </x:c>
      <x:c r="I1026" s="58" t="n">
        <x:f>AVERAGE(E1018:E1025)</x:f>
        <x:v>274.75</x:v>
      </x:c>
      <x:c r="J1026" s="58" t="n">
        <x:f>IF(G1026="","",ABS(E1026-G1026))</x:f>
        <x:v>138</x:v>
      </x:c>
      <x:c r="K1026" s="58" t="n">
        <x:f>IF(H1026="","",ABS(E1026-H1026))</x:f>
        <x:v>54</x:v>
      </x:c>
      <x:c r="L1026" s="58" t="n">
        <x:f>IF(I1026="","",ABS(E1026-I1026))</x:f>
        <x:v>158.75</x:v>
      </x:c>
      <x:c r="M1026" s="23" t="str">
        <x:f>IF(B1026&gt;44,"Validation","Training")</x:f>
        <x:v>Training</x:v>
      </x:c>
      <x:c r="N1026" s="61" t="n">
        <x:f>IF(OR(H1026="",E1026=0),"",K1026/E1026)</x:f>
        <x:v>0.46551724137931033</x:v>
      </x:c>
    </x:row>
    <x:row r="1027">
      <x:c r="A1027" s="28" t="n">
        <x:v>40756</x:v>
      </x:c>
      <x:c r="B1027" s="23" t="n">
        <x:v>35</x:v>
      </x:c>
      <x:c r="C1027" s="23" t="str">
        <x:v>21137</x:v>
      </x:c>
      <x:c r="D1027" s="23" t="str">
        <x:v>BLACK RECORD COVER FRAME</x:v>
      </x:c>
      <x:c r="E1027" s="34" t="n">
        <x:v>0</x:v>
      </x:c>
      <x:c r="F1027" s="55" t="n">
        <x:v>0</x:v>
      </x:c>
      <x:c r="G1027" s="58" t="n">
        <x:f>E1026</x:f>
        <x:v>116</x:v>
      </x:c>
      <x:c r="H1027" s="58" t="n">
        <x:f>AVERAGE(E1023:E1026)</x:f>
        <x:v>140</x:v>
      </x:c>
      <x:c r="I1027" s="58" t="n">
        <x:f>AVERAGE(E1019:E1026)</x:f>
        <x:v>226.25</x:v>
      </x:c>
      <x:c r="J1027" s="58" t="n">
        <x:f>IF(G1027="","",ABS(E1027-G1027))</x:f>
        <x:v>116</x:v>
      </x:c>
      <x:c r="K1027" s="58" t="n">
        <x:f>IF(H1027="","",ABS(E1027-H1027))</x:f>
        <x:v>140</x:v>
      </x:c>
      <x:c r="L1027" s="58" t="n">
        <x:f>IF(I1027="","",ABS(E1027-I1027))</x:f>
        <x:v>226.25</x:v>
      </x:c>
      <x:c r="M1027" s="23" t="str">
        <x:f>IF(B1027&gt;44,"Validation","Training")</x:f>
        <x:v>Training</x:v>
      </x:c>
      <x:c r="N1027" s="61" t="str">
        <x:f>IF(OR(H1027="",E1027=0),"",K1027/E1027)</x:f>
      </x:c>
    </x:row>
    <x:row r="1028">
      <x:c r="A1028" s="28" t="n">
        <x:v>40763</x:v>
      </x:c>
      <x:c r="B1028" s="23" t="n">
        <x:v>36</x:v>
      </x:c>
      <x:c r="C1028" s="23" t="str">
        <x:v>21137</x:v>
      </x:c>
      <x:c r="D1028" s="23" t="str">
        <x:v>BLACK RECORD COVER FRAME</x:v>
      </x:c>
      <x:c r="E1028" s="34" t="n">
        <x:v>73</x:v>
      </x:c>
      <x:c r="F1028" s="55" t="n">
        <x:v>247.83</x:v>
      </x:c>
      <x:c r="G1028" s="58" t="n">
        <x:f>E1027</x:f>
        <x:v>0</x:v>
      </x:c>
      <x:c r="H1028" s="58" t="n">
        <x:f>AVERAGE(E1024:E1027)</x:f>
        <x:v>117.5</x:v>
      </x:c>
      <x:c r="I1028" s="58" t="n">
        <x:f>AVERAGE(E1020:E1027)</x:f>
        <x:v>224</x:v>
      </x:c>
      <x:c r="J1028" s="58" t="str">
        <x:f>IF(G1028="","",ABS(E1028-G1028))</x:f>
      </x:c>
      <x:c r="K1028" s="58" t="n">
        <x:f>IF(H1028="","",ABS(E1028-H1028))</x:f>
        <x:v>44.5</x:v>
      </x:c>
      <x:c r="L1028" s="58" t="n">
        <x:f>IF(I1028="","",ABS(E1028-I1028))</x:f>
        <x:v>151</x:v>
      </x:c>
      <x:c r="M1028" s="23" t="str">
        <x:f>IF(B1028&gt;44,"Validation","Training")</x:f>
        <x:v>Training</x:v>
      </x:c>
      <x:c r="N1028" s="61" t="n">
        <x:f>IF(OR(H1028="",E1028=0),"",K1028/E1028)</x:f>
        <x:v>0.6095890410958904</x:v>
      </x:c>
    </x:row>
    <x:row r="1029">
      <x:c r="A1029" s="28" t="n">
        <x:v>40770</x:v>
      </x:c>
      <x:c r="B1029" s="23" t="n">
        <x:v>37</x:v>
      </x:c>
      <x:c r="C1029" s="23" t="str">
        <x:v>21137</x:v>
      </x:c>
      <x:c r="D1029" s="23" t="str">
        <x:v>BLACK RECORD COVER FRAME</x:v>
      </x:c>
      <x:c r="E1029" s="34" t="n">
        <x:v>270</x:v>
      </x:c>
      <x:c r="F1029" s="55" t="n">
        <x:v>917.46</x:v>
      </x:c>
      <x:c r="G1029" s="58" t="n">
        <x:f>E1028</x:f>
        <x:v>73</x:v>
      </x:c>
      <x:c r="H1029" s="58" t="n">
        <x:f>AVERAGE(E1025:E1028)</x:f>
        <x:v>110.75</x:v>
      </x:c>
      <x:c r="I1029" s="58" t="n">
        <x:f>AVERAGE(E1021:E1028)</x:f>
        <x:v>125</x:v>
      </x:c>
      <x:c r="J1029" s="58" t="n">
        <x:f>IF(G1029="","",ABS(E1029-G1029))</x:f>
        <x:v>197</x:v>
      </x:c>
      <x:c r="K1029" s="58" t="n">
        <x:f>IF(H1029="","",ABS(E1029-H1029))</x:f>
        <x:v>159.25</x:v>
      </x:c>
      <x:c r="L1029" s="58" t="n">
        <x:f>IF(I1029="","",ABS(E1029-I1029))</x:f>
        <x:v>145</x:v>
      </x:c>
      <x:c r="M1029" s="23" t="str">
        <x:f>IF(B1029&gt;44,"Validation","Training")</x:f>
        <x:v>Training</x:v>
      </x:c>
      <x:c r="N1029" s="61" t="n">
        <x:f>IF(OR(H1029="",E1029=0),"",K1029/E1029)</x:f>
        <x:v>0.5898148148148148</x:v>
      </x:c>
    </x:row>
    <x:row r="1030">
      <x:c r="A1030" s="28" t="n">
        <x:v>40777</x:v>
      </x:c>
      <x:c r="B1030" s="23" t="n">
        <x:v>38</x:v>
      </x:c>
      <x:c r="C1030" s="23" t="str">
        <x:v>21137</x:v>
      </x:c>
      <x:c r="D1030" s="23" t="str">
        <x:v>BLACK RECORD COVER FRAME</x:v>
      </x:c>
      <x:c r="E1030" s="34" t="n">
        <x:v>20</x:v>
      </x:c>
      <x:c r="F1030" s="55" t="n">
        <x:v>75</x:v>
      </x:c>
      <x:c r="G1030" s="58" t="n">
        <x:f>E1029</x:f>
        <x:v>270</x:v>
      </x:c>
      <x:c r="H1030" s="58" t="n">
        <x:f>AVERAGE(E1026:E1029)</x:f>
        <x:v>114.75</x:v>
      </x:c>
      <x:c r="I1030" s="58" t="n">
        <x:f>AVERAGE(E1022:E1029)</x:f>
        <x:v>142.375</x:v>
      </x:c>
      <x:c r="J1030" s="58" t="n">
        <x:f>IF(G1030="","",ABS(E1030-G1030))</x:f>
        <x:v>250</x:v>
      </x:c>
      <x:c r="K1030" s="58" t="n">
        <x:f>IF(H1030="","",ABS(E1030-H1030))</x:f>
        <x:v>94.75</x:v>
      </x:c>
      <x:c r="L1030" s="58" t="n">
        <x:f>IF(I1030="","",ABS(E1030-I1030))</x:f>
        <x:v>122.375</x:v>
      </x:c>
      <x:c r="M1030" s="23" t="str">
        <x:f>IF(B1030&gt;44,"Validation","Training")</x:f>
        <x:v>Training</x:v>
      </x:c>
      <x:c r="N1030" s="61" t="n">
        <x:f>IF(OR(H1030="",E1030=0),"",K1030/E1030)</x:f>
        <x:v>4.7375</x:v>
      </x:c>
    </x:row>
    <x:row r="1031">
      <x:c r="A1031" s="28" t="n">
        <x:v>40784</x:v>
      </x:c>
      <x:c r="B1031" s="23" t="n">
        <x:v>39</x:v>
      </x:c>
      <x:c r="C1031" s="23" t="str">
        <x:v>21137</x:v>
      </x:c>
      <x:c r="D1031" s="23" t="str">
        <x:v>BLACK RECORD COVER FRAME</x:v>
      </x:c>
      <x:c r="E1031" s="34" t="n">
        <x:v>176</x:v>
      </x:c>
      <x:c r="F1031" s="55" t="n">
        <x:v>614.36</x:v>
      </x:c>
      <x:c r="G1031" s="58" t="n">
        <x:f>E1030</x:f>
        <x:v>20</x:v>
      </x:c>
      <x:c r="H1031" s="58" t="n">
        <x:f>AVERAGE(E1027:E1030)</x:f>
        <x:v>90.75</x:v>
      </x:c>
      <x:c r="I1031" s="58" t="n">
        <x:f>AVERAGE(E1023:E1030)</x:f>
        <x:v>115.375</x:v>
      </x:c>
      <x:c r="J1031" s="58" t="n">
        <x:f>IF(G1031="","",ABS(E1031-G1031))</x:f>
        <x:v>156</x:v>
      </x:c>
      <x:c r="K1031" s="58" t="n">
        <x:f>IF(H1031="","",ABS(E1031-H1031))</x:f>
        <x:v>85.25</x:v>
      </x:c>
      <x:c r="L1031" s="58" t="n">
        <x:f>IF(I1031="","",ABS(E1031-I1031))</x:f>
        <x:v>60.625</x:v>
      </x:c>
      <x:c r="M1031" s="23" t="str">
        <x:f>IF(B1031&gt;44,"Validation","Training")</x:f>
        <x:v>Training</x:v>
      </x:c>
      <x:c r="N1031" s="61" t="n">
        <x:f>IF(OR(H1031="",E1031=0),"",K1031/E1031)</x:f>
        <x:v>0.484375</x:v>
      </x:c>
    </x:row>
    <x:row r="1032">
      <x:c r="A1032" s="28" t="n">
        <x:v>40791</x:v>
      </x:c>
      <x:c r="B1032" s="23" t="n">
        <x:v>40</x:v>
      </x:c>
      <x:c r="C1032" s="23" t="str">
        <x:v>21137</x:v>
      </x:c>
      <x:c r="D1032" s="23" t="str">
        <x:v>BLACK RECORD COVER FRAME</x:v>
      </x:c>
      <x:c r="E1032" s="34" t="n">
        <x:v>104</x:v>
      </x:c>
      <x:c r="F1032" s="55" t="n">
        <x:v>355.44</x:v>
      </x:c>
      <x:c r="G1032" s="58" t="n">
        <x:f>E1031</x:f>
        <x:v>176</x:v>
      </x:c>
      <x:c r="H1032" s="58" t="n">
        <x:f>AVERAGE(E1028:E1031)</x:f>
        <x:v>134.75</x:v>
      </x:c>
      <x:c r="I1032" s="58" t="n">
        <x:f>AVERAGE(E1024:E1031)</x:f>
        <x:v>126.125</x:v>
      </x:c>
      <x:c r="J1032" s="58" t="n">
        <x:f>IF(G1032="","",ABS(E1032-G1032))</x:f>
        <x:v>72</x:v>
      </x:c>
      <x:c r="K1032" s="58" t="n">
        <x:f>IF(H1032="","",ABS(E1032-H1032))</x:f>
        <x:v>30.75</x:v>
      </x:c>
      <x:c r="L1032" s="58" t="n">
        <x:f>IF(I1032="","",ABS(E1032-I1032))</x:f>
        <x:v>22.125</x:v>
      </x:c>
      <x:c r="M1032" s="23" t="str">
        <x:f>IF(B1032&gt;44,"Validation","Training")</x:f>
        <x:v>Training</x:v>
      </x:c>
      <x:c r="N1032" s="61" t="n">
        <x:f>IF(OR(H1032="",E1032=0),"",K1032/E1032)</x:f>
        <x:v>0.2956730769230769</x:v>
      </x:c>
    </x:row>
    <x:row r="1033">
      <x:c r="A1033" s="28" t="n">
        <x:v>40798</x:v>
      </x:c>
      <x:c r="B1033" s="23" t="n">
        <x:v>41</x:v>
      </x:c>
      <x:c r="C1033" s="23" t="str">
        <x:v>21137</x:v>
      </x:c>
      <x:c r="D1033" s="23" t="str">
        <x:v>BLACK RECORD COVER FRAME</x:v>
      </x:c>
      <x:c r="E1033" s="34" t="n">
        <x:v>210</x:v>
      </x:c>
      <x:c r="F1033" s="55" t="n">
        <x:v>733.22</x:v>
      </x:c>
      <x:c r="G1033" s="58" t="n">
        <x:f>E1032</x:f>
        <x:v>104</x:v>
      </x:c>
      <x:c r="H1033" s="58" t="n">
        <x:f>AVERAGE(E1029:E1032)</x:f>
        <x:v>142.5</x:v>
      </x:c>
      <x:c r="I1033" s="58" t="n">
        <x:f>AVERAGE(E1025:E1032)</x:f>
        <x:v>126.625</x:v>
      </x:c>
      <x:c r="J1033" s="58" t="n">
        <x:f>IF(G1033="","",ABS(E1033-G1033))</x:f>
        <x:v>106</x:v>
      </x:c>
      <x:c r="K1033" s="58" t="n">
        <x:f>IF(H1033="","",ABS(E1033-H1033))</x:f>
        <x:v>67.5</x:v>
      </x:c>
      <x:c r="L1033" s="58" t="n">
        <x:f>IF(I1033="","",ABS(E1033-I1033))</x:f>
        <x:v>83.375</x:v>
      </x:c>
      <x:c r="M1033" s="23" t="str">
        <x:f>IF(B1033&gt;44,"Validation","Training")</x:f>
        <x:v>Training</x:v>
      </x:c>
      <x:c r="N1033" s="61" t="n">
        <x:f>IF(OR(H1033="",E1033=0),"",K1033/E1033)</x:f>
        <x:v>0.32142857142857145</x:v>
      </x:c>
    </x:row>
    <x:row r="1034">
      <x:c r="A1034" s="28" t="n">
        <x:v>40805</x:v>
      </x:c>
      <x:c r="B1034" s="23" t="n">
        <x:v>42</x:v>
      </x:c>
      <x:c r="C1034" s="23" t="str">
        <x:v>21137</x:v>
      </x:c>
      <x:c r="D1034" s="23" t="str">
        <x:v>BLACK RECORD COVER FRAME</x:v>
      </x:c>
      <x:c r="E1034" s="34" t="n">
        <x:v>38</x:v>
      </x:c>
      <x:c r="F1034" s="55" t="n">
        <x:v>144.99</x:v>
      </x:c>
      <x:c r="G1034" s="58" t="n">
        <x:f>E1033</x:f>
        <x:v>210</x:v>
      </x:c>
      <x:c r="H1034" s="58" t="n">
        <x:f>AVERAGE(E1030:E1033)</x:f>
        <x:v>127.5</x:v>
      </x:c>
      <x:c r="I1034" s="58" t="n">
        <x:f>AVERAGE(E1026:E1033)</x:f>
        <x:v>121.125</x:v>
      </x:c>
      <x:c r="J1034" s="58" t="n">
        <x:f>IF(G1034="","",ABS(E1034-G1034))</x:f>
        <x:v>172</x:v>
      </x:c>
      <x:c r="K1034" s="58" t="n">
        <x:f>IF(H1034="","",ABS(E1034-H1034))</x:f>
        <x:v>89.5</x:v>
      </x:c>
      <x:c r="L1034" s="58" t="n">
        <x:f>IF(I1034="","",ABS(E1034-I1034))</x:f>
        <x:v>83.125</x:v>
      </x:c>
      <x:c r="M1034" s="23" t="str">
        <x:f>IF(B1034&gt;44,"Validation","Training")</x:f>
        <x:v>Training</x:v>
      </x:c>
      <x:c r="N1034" s="61" t="n">
        <x:f>IF(OR(H1034="",E1034=0),"",K1034/E1034)</x:f>
        <x:v>2.3552631578947367</x:v>
      </x:c>
    </x:row>
    <x:row r="1035">
      <x:c r="A1035" s="28" t="n">
        <x:v>40812</x:v>
      </x:c>
      <x:c r="B1035" s="23" t="n">
        <x:v>43</x:v>
      </x:c>
      <x:c r="C1035" s="23" t="str">
        <x:v>21137</x:v>
      </x:c>
      <x:c r="D1035" s="23" t="str">
        <x:v>BLACK RECORD COVER FRAME</x:v>
      </x:c>
      <x:c r="E1035" s="34" t="n">
        <x:v>202</x:v>
      </x:c>
      <x:c r="F1035" s="55" t="n">
        <x:v>715.57</x:v>
      </x:c>
      <x:c r="G1035" s="58" t="n">
        <x:f>E1034</x:f>
        <x:v>38</x:v>
      </x:c>
      <x:c r="H1035" s="58" t="n">
        <x:f>AVERAGE(E1031:E1034)</x:f>
        <x:v>132</x:v>
      </x:c>
      <x:c r="I1035" s="58" t="n">
        <x:f>AVERAGE(E1027:E1034)</x:f>
        <x:v>111.375</x:v>
      </x:c>
      <x:c r="J1035" s="58" t="n">
        <x:f>IF(G1035="","",ABS(E1035-G1035))</x:f>
        <x:v>164</x:v>
      </x:c>
      <x:c r="K1035" s="58" t="n">
        <x:f>IF(H1035="","",ABS(E1035-H1035))</x:f>
        <x:v>70</x:v>
      </x:c>
      <x:c r="L1035" s="58" t="n">
        <x:f>IF(I1035="","",ABS(E1035-I1035))</x:f>
        <x:v>90.625</x:v>
      </x:c>
      <x:c r="M1035" s="23" t="str">
        <x:f>IF(B1035&gt;44,"Validation","Training")</x:f>
        <x:v>Training</x:v>
      </x:c>
      <x:c r="N1035" s="61" t="n">
        <x:f>IF(OR(H1035="",E1035=0),"",K1035/E1035)</x:f>
        <x:v>0.3465346534653465</x:v>
      </x:c>
    </x:row>
    <x:row r="1036">
      <x:c r="A1036" s="28" t="n">
        <x:v>40819</x:v>
      </x:c>
      <x:c r="B1036" s="23" t="n">
        <x:v>44</x:v>
      </x:c>
      <x:c r="C1036" s="23" t="str">
        <x:v>21137</x:v>
      </x:c>
      <x:c r="D1036" s="23" t="str">
        <x:v>BLACK RECORD COVER FRAME</x:v>
      </x:c>
      <x:c r="E1036" s="34" t="n">
        <x:v>305</x:v>
      </x:c>
      <x:c r="F1036" s="55" t="n">
        <x:v>1063.55</x:v>
      </x:c>
      <x:c r="G1036" s="58" t="n">
        <x:f>E1035</x:f>
        <x:v>202</x:v>
      </x:c>
      <x:c r="H1036" s="58" t="n">
        <x:f>AVERAGE(E1032:E1035)</x:f>
        <x:v>138.5</x:v>
      </x:c>
      <x:c r="I1036" s="58" t="n">
        <x:f>AVERAGE(E1028:E1035)</x:f>
        <x:v>136.625</x:v>
      </x:c>
      <x:c r="J1036" s="58" t="n">
        <x:f>IF(G1036="","",ABS(E1036-G1036))</x:f>
        <x:v>103</x:v>
      </x:c>
      <x:c r="K1036" s="58" t="n">
        <x:f>IF(H1036="","",ABS(E1036-H1036))</x:f>
        <x:v>166.5</x:v>
      </x:c>
      <x:c r="L1036" s="58" t="n">
        <x:f>IF(I1036="","",ABS(E1036-I1036))</x:f>
        <x:v>168.375</x:v>
      </x:c>
      <x:c r="M1036" s="23" t="str">
        <x:f>IF(B1036&gt;44,"Validation","Training")</x:f>
        <x:v>Training</x:v>
      </x:c>
      <x:c r="N1036" s="61" t="n">
        <x:f>IF(OR(H1036="",E1036=0),"",K1036/E1036)</x:f>
        <x:v>0.5459016393442623</x:v>
      </x:c>
    </x:row>
    <x:row r="1037">
      <x:c r="A1037" s="28" t="n">
        <x:v>40826</x:v>
      </x:c>
      <x:c r="B1037" s="23" t="n">
        <x:v>45</x:v>
      </x:c>
      <x:c r="C1037" s="23" t="str">
        <x:v>21137</x:v>
      </x:c>
      <x:c r="D1037" s="23" t="str">
        <x:v>BLACK RECORD COVER FRAME</x:v>
      </x:c>
      <x:c r="E1037" s="34" t="n">
        <x:v>25</x:v>
      </x:c>
      <x:c r="F1037" s="55" t="n">
        <x:v>119.72</x:v>
      </x:c>
      <x:c r="G1037" s="58" t="n">
        <x:f>E1036</x:f>
        <x:v>305</x:v>
      </x:c>
      <x:c r="H1037" s="58" t="n">
        <x:f>AVERAGE(E1033:E1036)</x:f>
        <x:v>188.75</x:v>
      </x:c>
      <x:c r="I1037" s="58" t="n">
        <x:f>AVERAGE(E1029:E1036)</x:f>
        <x:v>165.625</x:v>
      </x:c>
      <x:c r="J1037" s="58" t="n">
        <x:f>IF(G1037="","",ABS(E1037-G1037))</x:f>
        <x:v>280</x:v>
      </x:c>
      <x:c r="K1037" s="58" t="n">
        <x:f>IF(H1037="","",ABS(E1037-H1037))</x:f>
        <x:v>163.75</x:v>
      </x:c>
      <x:c r="L1037" s="58" t="n">
        <x:f>IF(I1037="","",ABS(E1037-I1037))</x:f>
        <x:v>140.625</x:v>
      </x:c>
      <x:c r="M1037" s="23" t="str">
        <x:f>IF(B1037&gt;44,"Validation","Training")</x:f>
        <x:v>Validation</x:v>
      </x:c>
      <x:c r="N1037" s="61" t="n">
        <x:f>IF(OR(H1037="",E1037=0),"",K1037/E1037)</x:f>
        <x:v>6.55</x:v>
      </x:c>
    </x:row>
    <x:row r="1038">
      <x:c r="A1038" s="28" t="n">
        <x:v>40833</x:v>
      </x:c>
      <x:c r="B1038" s="23" t="n">
        <x:v>46</x:v>
      </x:c>
      <x:c r="C1038" s="23" t="str">
        <x:v>21137</x:v>
      </x:c>
      <x:c r="D1038" s="23" t="str">
        <x:v>BLACK RECORD COVER FRAME</x:v>
      </x:c>
      <x:c r="E1038" s="34" t="n">
        <x:v>184</x:v>
      </x:c>
      <x:c r="F1038" s="55" t="n">
        <x:v>638.16</x:v>
      </x:c>
      <x:c r="G1038" s="58" t="n">
        <x:f>E1037</x:f>
        <x:v>25</x:v>
      </x:c>
      <x:c r="H1038" s="58" t="n">
        <x:f>AVERAGE(E1034:E1037)</x:f>
        <x:v>142.5</x:v>
      </x:c>
      <x:c r="I1038" s="58" t="n">
        <x:f>AVERAGE(E1030:E1037)</x:f>
        <x:v>135</x:v>
      </x:c>
      <x:c r="J1038" s="58" t="n">
        <x:f>IF(G1038="","",ABS(E1038-G1038))</x:f>
        <x:v>159</x:v>
      </x:c>
      <x:c r="K1038" s="58" t="n">
        <x:f>IF(H1038="","",ABS(E1038-H1038))</x:f>
        <x:v>41.5</x:v>
      </x:c>
      <x:c r="L1038" s="58" t="n">
        <x:f>IF(I1038="","",ABS(E1038-I1038))</x:f>
        <x:v>49</x:v>
      </x:c>
      <x:c r="M1038" s="23" t="str">
        <x:f>IF(B1038&gt;44,"Validation","Training")</x:f>
        <x:v>Validation</x:v>
      </x:c>
      <x:c r="N1038" s="61" t="n">
        <x:f>IF(OR(H1038="",E1038=0),"",K1038/E1038)</x:f>
        <x:v>0.22554347826086957</x:v>
      </x:c>
    </x:row>
    <x:row r="1039">
      <x:c r="A1039" s="28" t="n">
        <x:v>40840</x:v>
      </x:c>
      <x:c r="B1039" s="23" t="n">
        <x:v>47</x:v>
      </x:c>
      <x:c r="C1039" s="23" t="str">
        <x:v>21137</x:v>
      </x:c>
      <x:c r="D1039" s="23" t="str">
        <x:v>BLACK RECORD COVER FRAME</x:v>
      </x:c>
      <x:c r="E1039" s="34" t="n">
        <x:v>95</x:v>
      </x:c>
      <x:c r="F1039" s="55" t="n">
        <x:v>334.04</x:v>
      </x:c>
      <x:c r="G1039" s="58" t="n">
        <x:f>E1038</x:f>
        <x:v>184</x:v>
      </x:c>
      <x:c r="H1039" s="58" t="n">
        <x:f>AVERAGE(E1035:E1038)</x:f>
        <x:v>179</x:v>
      </x:c>
      <x:c r="I1039" s="58" t="n">
        <x:f>AVERAGE(E1031:E1038)</x:f>
        <x:v>155.5</x:v>
      </x:c>
      <x:c r="J1039" s="58" t="n">
        <x:f>IF(G1039="","",ABS(E1039-G1039))</x:f>
        <x:v>89</x:v>
      </x:c>
      <x:c r="K1039" s="58" t="n">
        <x:f>IF(H1039="","",ABS(E1039-H1039))</x:f>
        <x:v>84</x:v>
      </x:c>
      <x:c r="L1039" s="58" t="n">
        <x:f>IF(I1039="","",ABS(E1039-I1039))</x:f>
        <x:v>60.5</x:v>
      </x:c>
      <x:c r="M1039" s="23" t="str">
        <x:f>IF(B1039&gt;44,"Validation","Training")</x:f>
        <x:v>Validation</x:v>
      </x:c>
      <x:c r="N1039" s="61" t="n">
        <x:f>IF(OR(H1039="",E1039=0),"",K1039/E1039)</x:f>
        <x:v>0.8842105263157894</x:v>
      </x:c>
    </x:row>
    <x:row r="1040">
      <x:c r="A1040" s="28" t="n">
        <x:v>40847</x:v>
      </x:c>
      <x:c r="B1040" s="23" t="n">
        <x:v>48</x:v>
      </x:c>
      <x:c r="C1040" s="23" t="str">
        <x:v>21137</x:v>
      </x:c>
      <x:c r="D1040" s="23" t="str">
        <x:v>BLACK RECORD COVER FRAME</x:v>
      </x:c>
      <x:c r="E1040" s="34" t="n">
        <x:v>433</x:v>
      </x:c>
      <x:c r="F1040" s="55" t="n">
        <x:v>1481.19</x:v>
      </x:c>
      <x:c r="G1040" s="58" t="n">
        <x:f>E1039</x:f>
        <x:v>95</x:v>
      </x:c>
      <x:c r="H1040" s="58" t="n">
        <x:f>AVERAGE(E1036:E1039)</x:f>
        <x:v>152.25</x:v>
      </x:c>
      <x:c r="I1040" s="58" t="n">
        <x:f>AVERAGE(E1032:E1039)</x:f>
        <x:v>145.375</x:v>
      </x:c>
      <x:c r="J1040" s="58" t="n">
        <x:f>IF(G1040="","",ABS(E1040-G1040))</x:f>
        <x:v>338</x:v>
      </x:c>
      <x:c r="K1040" s="58" t="n">
        <x:f>IF(H1040="","",ABS(E1040-H1040))</x:f>
        <x:v>280.75</x:v>
      </x:c>
      <x:c r="L1040" s="58" t="n">
        <x:f>IF(I1040="","",ABS(E1040-I1040))</x:f>
        <x:v>287.625</x:v>
      </x:c>
      <x:c r="M1040" s="23" t="str">
        <x:f>IF(B1040&gt;44,"Validation","Training")</x:f>
        <x:v>Validation</x:v>
      </x:c>
      <x:c r="N1040" s="61" t="n">
        <x:f>IF(OR(H1040="",E1040=0),"",K1040/E1040)</x:f>
        <x:v>0.6483833718244804</x:v>
      </x:c>
    </x:row>
    <x:row r="1041">
      <x:c r="A1041" s="28" t="n">
        <x:v>40854</x:v>
      </x:c>
      <x:c r="B1041" s="23" t="n">
        <x:v>49</x:v>
      </x:c>
      <x:c r="C1041" s="23" t="str">
        <x:v>21137</x:v>
      </x:c>
      <x:c r="D1041" s="23" t="str">
        <x:v>BLACK RECORD COVER FRAME</x:v>
      </x:c>
      <x:c r="E1041" s="34" t="n">
        <x:v>857</x:v>
      </x:c>
      <x:c r="F1041" s="55" t="n">
        <x:v>2952.55</x:v>
      </x:c>
      <x:c r="G1041" s="58" t="n">
        <x:f>E1040</x:f>
        <x:v>433</x:v>
      </x:c>
      <x:c r="H1041" s="58" t="n">
        <x:f>AVERAGE(E1037:E1040)</x:f>
        <x:v>184.25</x:v>
      </x:c>
      <x:c r="I1041" s="58" t="n">
        <x:f>AVERAGE(E1033:E1040)</x:f>
        <x:v>186.5</x:v>
      </x:c>
      <x:c r="J1041" s="58" t="n">
        <x:f>IF(G1041="","",ABS(E1041-G1041))</x:f>
        <x:v>424</x:v>
      </x:c>
      <x:c r="K1041" s="58" t="n">
        <x:f>IF(H1041="","",ABS(E1041-H1041))</x:f>
        <x:v>672.75</x:v>
      </x:c>
      <x:c r="L1041" s="58" t="n">
        <x:f>IF(I1041="","",ABS(E1041-I1041))</x:f>
        <x:v>670.5</x:v>
      </x:c>
      <x:c r="M1041" s="23" t="str">
        <x:f>IF(B1041&gt;44,"Validation","Training")</x:f>
        <x:v>Validation</x:v>
      </x:c>
      <x:c r="N1041" s="61" t="n">
        <x:f>IF(OR(H1041="",E1041=0),"",K1041/E1041)</x:f>
        <x:v>0.7850058343057176</x:v>
      </x:c>
    </x:row>
    <x:row r="1042">
      <x:c r="A1042" s="28" t="n">
        <x:v>40861</x:v>
      </x:c>
      <x:c r="B1042" s="23" t="n">
        <x:v>50</x:v>
      </x:c>
      <x:c r="C1042" s="23" t="str">
        <x:v>21137</x:v>
      </x:c>
      <x:c r="D1042" s="23" t="str">
        <x:v>BLACK RECORD COVER FRAME</x:v>
      </x:c>
      <x:c r="E1042" s="34" t="n">
        <x:v>259</x:v>
      </x:c>
      <x:c r="F1042" s="55" t="n">
        <x:v>955.29</x:v>
      </x:c>
      <x:c r="G1042" s="58" t="n">
        <x:f>E1041</x:f>
        <x:v>857</x:v>
      </x:c>
      <x:c r="H1042" s="58" t="n">
        <x:f>AVERAGE(E1038:E1041)</x:f>
        <x:v>392.25</x:v>
      </x:c>
      <x:c r="I1042" s="58" t="n">
        <x:f>AVERAGE(E1034:E1041)</x:f>
        <x:v>267.375</x:v>
      </x:c>
      <x:c r="J1042" s="58" t="n">
        <x:f>IF(G1042="","",ABS(E1042-G1042))</x:f>
        <x:v>598</x:v>
      </x:c>
      <x:c r="K1042" s="58" t="n">
        <x:f>IF(H1042="","",ABS(E1042-H1042))</x:f>
        <x:v>133.25</x:v>
      </x:c>
      <x:c r="L1042" s="58" t="n">
        <x:f>IF(I1042="","",ABS(E1042-I1042))</x:f>
        <x:v>8.375</x:v>
      </x:c>
      <x:c r="M1042" s="23" t="str">
        <x:f>IF(B1042&gt;44,"Validation","Training")</x:f>
        <x:v>Validation</x:v>
      </x:c>
      <x:c r="N1042" s="61" t="n">
        <x:f>IF(OR(H1042="",E1042=0),"",K1042/E1042)</x:f>
        <x:v>0.5144787644787645</x:v>
      </x:c>
    </x:row>
    <x:row r="1043">
      <x:c r="A1043" s="28" t="n">
        <x:v>40868</x:v>
      </x:c>
      <x:c r="B1043" s="23" t="n">
        <x:v>51</x:v>
      </x:c>
      <x:c r="C1043" s="23" t="str">
        <x:v>21137</x:v>
      </x:c>
      <x:c r="D1043" s="23" t="str">
        <x:v>BLACK RECORD COVER FRAME</x:v>
      </x:c>
      <x:c r="E1043" s="34" t="n">
        <x:v>584</x:v>
      </x:c>
      <x:c r="F1043" s="55" t="n">
        <x:v>2086.47</x:v>
      </x:c>
      <x:c r="G1043" s="58" t="n">
        <x:f>E1042</x:f>
        <x:v>259</x:v>
      </x:c>
      <x:c r="H1043" s="58" t="n">
        <x:f>AVERAGE(E1039:E1042)</x:f>
        <x:v>411</x:v>
      </x:c>
      <x:c r="I1043" s="58" t="n">
        <x:f>AVERAGE(E1035:E1042)</x:f>
        <x:v>295</x:v>
      </x:c>
      <x:c r="J1043" s="58" t="n">
        <x:f>IF(G1043="","",ABS(E1043-G1043))</x:f>
        <x:v>325</x:v>
      </x:c>
      <x:c r="K1043" s="58" t="n">
        <x:f>IF(H1043="","",ABS(E1043-H1043))</x:f>
        <x:v>173</x:v>
      </x:c>
      <x:c r="L1043" s="58" t="n">
        <x:f>IF(I1043="","",ABS(E1043-I1043))</x:f>
        <x:v>289</x:v>
      </x:c>
      <x:c r="M1043" s="23" t="str">
        <x:f>IF(B1043&gt;44,"Validation","Training")</x:f>
        <x:v>Validation</x:v>
      </x:c>
      <x:c r="N1043" s="61" t="n">
        <x:f>IF(OR(H1043="",E1043=0),"",K1043/E1043)</x:f>
        <x:v>0.2962328767123288</x:v>
      </x:c>
    </x:row>
    <x:row r="1044">
      <x:c r="A1044" s="29" t="n">
        <x:v>40875</x:v>
      </x:c>
      <x:c r="B1044" s="24" t="n">
        <x:v>52</x:v>
      </x:c>
      <x:c r="C1044" s="24" t="str">
        <x:v>21137</x:v>
      </x:c>
      <x:c r="D1044" s="24" t="str">
        <x:v>BLACK RECORD COVER FRAME</x:v>
      </x:c>
      <x:c r="E1044" s="53" t="n">
        <x:v>183</x:v>
      </x:c>
      <x:c r="F1044" s="56" t="n">
        <x:v>735.8</x:v>
      </x:c>
      <x:c r="G1044" s="59" t="n">
        <x:f>E1043</x:f>
        <x:v>584</x:v>
      </x:c>
      <x:c r="H1044" s="59" t="n">
        <x:f>AVERAGE(E1040:E1043)</x:f>
        <x:v>533.25</x:v>
      </x:c>
      <x:c r="I1044" s="59" t="n">
        <x:f>AVERAGE(E1036:E1043)</x:f>
        <x:v>342.75</x:v>
      </x:c>
      <x:c r="J1044" s="59" t="n">
        <x:f>IF(G1044="","",ABS(E1044-G1044))</x:f>
        <x:v>401</x:v>
      </x:c>
      <x:c r="K1044" s="59" t="n">
        <x:f>IF(H1044="","",ABS(E1044-H1044))</x:f>
        <x:v>350.25</x:v>
      </x:c>
      <x:c r="L1044" s="59" t="n">
        <x:f>IF(I1044="","",ABS(E1044-I1044))</x:f>
        <x:v>159.75</x:v>
      </x:c>
      <x:c r="M1044" s="24" t="str">
        <x:f>IF(B1044&gt;44,"Validation","Training")</x:f>
        <x:v>Validation</x:v>
      </x:c>
      <x:c r="N1044" s="62" t="n">
        <x:f>IF(OR(H1044="",E1044=0),"",K1044/E1044)</x:f>
        <x:v>1.9139344262295082</x:v>
      </x:c>
    </x:row>
  </x:sheetData>
  <x:mergeCells>
    <x:mergeCell ref="A1:N1"/>
    <x:mergeCell ref="A2:N2"/>
  </x:mergeCells>
  <x:conditionalFormatting sqref="M5:M1044">
    <x:cfRule type="containsText" dxfId="0" priority="1" operator="containsText" text="Validation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49" hidden="0" customWidth="1"/>
    <x:col min="3" max="3" width="4" hidden="0" customWidth="1"/>
    <x:col min="4" max="4" width="4" hidden="0" customWidth="1"/>
  </x:cols>
  <x:sheetData>
    <x:row r="1" ht="34" customHeight="1">
      <x:c r="A1" s="35" t="str">
        <x:v>Assumptions and Data Source</x:v>
      </x:c>
      <x:c r="B1" s="35" t="str">
        <x:v>Assumptions and Data Source</x:v>
      </x:c>
      <x:c r="C1" s="35" t="str">
        <x:v>Assumptions and Data Source</x:v>
      </x:c>
      <x:c r="D1" s="35" t="str">
        <x:v>Assumptions and Data Source</x:v>
      </x:c>
    </x:row>
    <x:row r="2" ht="30" customHeight="1">
      <x:c r="A2" s="8" t="str">
        <x:v>Scenario inputs used for inventory policy calculations, followed by the dataset source and analysis scope.</x:v>
      </x:c>
      <x:c r="B2" s="8" t="str">
        <x:v>Scenario inputs used for inventory policy calculations, followed by the dataset source and analysis scope.</x:v>
      </x:c>
      <x:c r="C2" s="8" t="str">
        <x:v>Scenario inputs used for inventory policy calculations, followed by the dataset source and analysis scope.</x:v>
      </x:c>
      <x:c r="D2" s="8" t="str">
        <x:v>Scenario inputs used for inventory policy calculations, followed by the dataset source and analysis scope.</x:v>
      </x:c>
    </x:row>
    <x:row r="3">
      <x:c r="A3" s="36"/>
      <x:c r="B3" s="36"/>
      <x:c r="C3" s="36"/>
      <x:c r="D3" s="36"/>
    </x:row>
    <x:row r="4" ht="30" customHeight="1">
      <x:c r="A4" s="16" t="str">
        <x:v>Planning input</x:v>
      </x:c>
      <x:c r="B4" s="17" t="str">
        <x:v>Value</x:v>
      </x:c>
      <x:c r="C4" s="36"/>
      <x:c r="D4" s="36"/>
    </x:row>
    <x:row r="5">
      <x:c r="A5" s="37" t="str">
        <x:v>Forecast window (weeks)</x:v>
      </x:c>
      <x:c r="B5" s="38" t="n">
        <x:v>4</x:v>
      </x:c>
      <x:c r="C5" s="36"/>
      <x:c r="D5" s="36"/>
    </x:row>
    <x:row r="6">
      <x:c r="A6" s="39" t="str">
        <x:v>Validation period (weeks)</x:v>
      </x:c>
      <x:c r="B6" s="40" t="n">
        <x:v>8</x:v>
      </x:c>
      <x:c r="C6" s="36"/>
      <x:c r="D6" s="36"/>
    </x:row>
    <x:row r="7">
      <x:c r="A7" s="39" t="str">
        <x:v>Lead time (weeks)</x:v>
      </x:c>
      <x:c r="B7" s="40" t="n">
        <x:v>2</x:v>
      </x:c>
      <x:c r="C7" s="36"/>
      <x:c r="D7" s="36"/>
    </x:row>
    <x:row r="8">
      <x:c r="A8" s="39" t="str">
        <x:v>Target service level</x:v>
      </x:c>
      <x:c r="B8" s="41" t="n">
        <x:v>0.95</x:v>
      </x:c>
      <x:c r="C8" s="36"/>
      <x:c r="D8" s="36"/>
    </x:row>
    <x:row r="9">
      <x:c r="A9" s="39" t="str">
        <x:v>Z-score for service level</x:v>
      </x:c>
      <x:c r="B9" s="40" t="n">
        <x:v>1.645</x:v>
      </x:c>
      <x:c r="C9" s="36"/>
      <x:c r="D9" s="36"/>
    </x:row>
    <x:row r="10">
      <x:c r="A10" s="39" t="str">
        <x:v>Review period (weeks)</x:v>
      </x:c>
      <x:c r="B10" s="40" t="n">
        <x:v>1</x:v>
      </x:c>
      <x:c r="C10" s="36"/>
      <x:c r="D10" s="36"/>
    </x:row>
    <x:row r="11">
      <x:c r="A11" s="39" t="str">
        <x:v>History start</x:v>
      </x:c>
      <x:c r="B11" s="42" t="n">
        <x:v>40518</x:v>
      </x:c>
      <x:c r="C11" s="36"/>
      <x:c r="D11" s="36"/>
    </x:row>
    <x:row r="12">
      <x:c r="A12" s="43" t="str">
        <x:v>History end</x:v>
      </x:c>
      <x:c r="B12" s="44" t="n">
        <x:v>40881</x:v>
      </x:c>
      <x:c r="C12" s="36"/>
      <x:c r="D12" s="36"/>
    </x:row>
    <x:row r="13">
      <x:c r="A13" s="36"/>
      <x:c r="B13" s="36"/>
      <x:c r="C13" s="36"/>
      <x:c r="D13" s="36"/>
    </x:row>
    <x:row r="14" ht="22" customHeight="1">
      <x:c r="A14" s="45" t="str">
        <x:v>Source and Scope</x:v>
      </x:c>
      <x:c r="B14" s="45" t="str">
        <x:v>Source and Scope</x:v>
      </x:c>
      <x:c r="C14" s="45" t="str">
        <x:v>Source and Scope</x:v>
      </x:c>
      <x:c r="D14" s="45" t="str">
        <x:v>Source and Scope</x:v>
      </x:c>
    </x:row>
    <x:row r="15">
      <x:c r="A15" s="37" t="str">
        <x:v>Source rows</x:v>
      </x:c>
      <x:c r="B15" s="46" t="n">
        <x:v>541909</x:v>
      </x:c>
      <x:c r="C15" s="36"/>
      <x:c r="D15" s="36"/>
    </x:row>
    <x:row r="16">
      <x:c r="A16" s="39" t="str">
        <x:v>Valid merchandise rows</x:v>
      </x:c>
      <x:c r="B16" s="47" t="n">
        <x:v>500218</x:v>
      </x:c>
      <x:c r="C16" s="36"/>
      <x:c r="D16" s="36"/>
    </x:row>
    <x:row r="17">
      <x:c r="A17" s="39" t="str">
        <x:v>Selected-product rows</x:v>
      </x:c>
      <x:c r="B17" s="47" t="n">
        <x:v>23243</x:v>
      </x:c>
      <x:c r="C17" s="36"/>
      <x:c r="D17" s="36"/>
    </x:row>
    <x:row r="18">
      <x:c r="A18" s="39" t="str">
        <x:v>Selected SKUs</x:v>
      </x:c>
      <x:c r="B18" s="47" t="n">
        <x:v>20</x:v>
      </x:c>
      <x:c r="C18" s="36"/>
      <x:c r="D18" s="36"/>
    </x:row>
    <x:row r="19">
      <x:c r="A19" s="39" t="str">
        <x:v>Complete weeks</x:v>
      </x:c>
      <x:c r="B19" s="47" t="n">
        <x:v>52</x:v>
      </x:c>
      <x:c r="C19" s="36"/>
      <x:c r="D19" s="36"/>
    </x:row>
    <x:row r="20">
      <x:c r="A20" s="39" t="str">
        <x:v>Dataset URL</x:v>
      </x:c>
      <x:c r="B20" s="39" t="str">
        <x:v>https://archive.ics.uci.edu/dataset/352/online+retail</x:v>
      </x:c>
      <x:c r="C20" s="36"/>
      <x:c r="D20" s="36"/>
    </x:row>
    <x:row r="21">
      <x:c r="A21" s="43" t="str">
        <x:v>License</x:v>
      </x:c>
      <x:c r="B21" s="43" t="str">
        <x:v>CC BY 4.0</x:v>
      </x:c>
      <x:c r="C21" s="36"/>
      <x:c r="D21" s="36"/>
    </x:row>
  </x:sheetData>
  <x:mergeCells>
    <x:mergeCell ref="A1:D1"/>
    <x:mergeCell ref="A2:D2"/>
    <x:mergeCell ref="A14:D14"/>
  </x:mergeCells>
  <x:pageMargins left="0.7" right="0.7" top="0.75" bottom="0.75" header="0.3" footer="0.3"/>
</x:worksheet>
</file>